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y_Chain_Data" sheetId="1" state="visible" r:id="rId3"/>
    <sheet name="KPI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<sst xmlns="http://schemas.openxmlformats.org/spreadsheetml/2006/main" count="1239" uniqueCount="109">
  <si>
    <t xml:space="preserve">Date</t>
  </si>
  <si>
    <t xml:space="preserve">Month</t>
  </si>
  <si>
    <t xml:space="preserve">Quarter</t>
  </si>
  <si>
    <t xml:space="preserve">Year</t>
  </si>
  <si>
    <t xml:space="preserve">Product ID</t>
  </si>
  <si>
    <t xml:space="preserve">Product Name</t>
  </si>
  <si>
    <t xml:space="preserve">Product Category</t>
  </si>
  <si>
    <t xml:space="preserve">Supplier Name</t>
  </si>
  <si>
    <t xml:space="preserve">Warehouse Location</t>
  </si>
  <si>
    <t xml:space="preserve">Region</t>
  </si>
  <si>
    <t xml:space="preserve">Opening Stock</t>
  </si>
  <si>
    <t xml:space="preserve">Incoming Stock</t>
  </si>
  <si>
    <t xml:space="preserve">Units Sold</t>
  </si>
  <si>
    <t xml:space="preserve">Closing Stock</t>
  </si>
  <si>
    <t xml:space="preserve">Reorder Level</t>
  </si>
  <si>
    <t xml:space="preserve">Reorder Status</t>
  </si>
  <si>
    <t xml:space="preserve">Lead Time (Days)</t>
  </si>
  <si>
    <t xml:space="preserve">Order Quantity</t>
  </si>
  <si>
    <t xml:space="preserve">Delivery Status</t>
  </si>
  <si>
    <t xml:space="preserve">Delivery Time (Days)</t>
  </si>
  <si>
    <t xml:space="preserve">Inventory Holding Cost</t>
  </si>
  <si>
    <t xml:space="preserve">Stockout Status</t>
  </si>
  <si>
    <t xml:space="preserve">Demand Forecast</t>
  </si>
  <si>
    <t xml:space="preserve">Actual Demand</t>
  </si>
  <si>
    <t xml:space="preserve">Forecast Accuracy %</t>
  </si>
  <si>
    <t xml:space="preserve">Inventory Turnover Ratio</t>
  </si>
  <si>
    <t xml:space="preserve">January</t>
  </si>
  <si>
    <t xml:space="preserve">Q1</t>
  </si>
  <si>
    <t xml:space="preserve">SKU1005</t>
  </si>
  <si>
    <t xml:space="preserve">Refrigerator 300L</t>
  </si>
  <si>
    <t xml:space="preserve">Home Appliances</t>
  </si>
  <si>
    <t xml:space="preserve">Meridian Distributors</t>
  </si>
  <si>
    <t xml:space="preserve">Warehouse A - Mumbai</t>
  </si>
  <si>
    <t xml:space="preserve">West</t>
  </si>
  <si>
    <t xml:space="preserve">SKU1004</t>
  </si>
  <si>
    <t xml:space="preserve">Smart Watch</t>
  </si>
  <si>
    <t xml:space="preserve">Electronics</t>
  </si>
  <si>
    <t xml:space="preserve">Horizon Freight</t>
  </si>
  <si>
    <t xml:space="preserve">Warehouse D - Kolkata</t>
  </si>
  <si>
    <t xml:space="preserve">East</t>
  </si>
  <si>
    <t xml:space="preserve">Cascade Vendors</t>
  </si>
  <si>
    <t xml:space="preserve">Warehouse E - Ahmedabad</t>
  </si>
  <si>
    <t xml:space="preserve">SKU1009</t>
  </si>
  <si>
    <t xml:space="preserve">Wooden Dining Table</t>
  </si>
  <si>
    <t xml:space="preserve">Furniture</t>
  </si>
  <si>
    <t xml:space="preserve">Warehouse C - Bengaluru</t>
  </si>
  <si>
    <t xml:space="preserve">South</t>
  </si>
  <si>
    <t xml:space="preserve">SKU1008</t>
  </si>
  <si>
    <t xml:space="preserve">Office Chair</t>
  </si>
  <si>
    <t xml:space="preserve">SKU1006</t>
  </si>
  <si>
    <t xml:space="preserve">Washing Machine 7kg</t>
  </si>
  <si>
    <t xml:space="preserve">February</t>
  </si>
  <si>
    <t xml:space="preserve">Vantage Supply Co.</t>
  </si>
  <si>
    <t xml:space="preserve">SKU1001</t>
  </si>
  <si>
    <t xml:space="preserve">Smartphone X1</t>
  </si>
  <si>
    <t xml:space="preserve">Warehouse B - Delhi</t>
  </si>
  <si>
    <t xml:space="preserve">North</t>
  </si>
  <si>
    <t xml:space="preserve">March</t>
  </si>
  <si>
    <t xml:space="preserve">SKU1016</t>
  </si>
  <si>
    <t xml:space="preserve">Skin Care Cream</t>
  </si>
  <si>
    <t xml:space="preserve">FMCG</t>
  </si>
  <si>
    <t xml:space="preserve">Northstar Traders</t>
  </si>
  <si>
    <t xml:space="preserve">SKU1011</t>
  </si>
  <si>
    <t xml:space="preserve">Men's Formal Shirt</t>
  </si>
  <si>
    <t xml:space="preserve">Apparel</t>
  </si>
  <si>
    <t xml:space="preserve">Summit Wholesale</t>
  </si>
  <si>
    <t xml:space="preserve">SKU1013</t>
  </si>
  <si>
    <t xml:space="preserve">Running Shoes</t>
  </si>
  <si>
    <t xml:space="preserve">SKU1015</t>
  </si>
  <si>
    <t xml:space="preserve">Organic Tea</t>
  </si>
  <si>
    <t xml:space="preserve">April</t>
  </si>
  <si>
    <t xml:space="preserve">Q2</t>
  </si>
  <si>
    <t xml:space="preserve">SKU1007</t>
  </si>
  <si>
    <t xml:space="preserve">Microwave Oven</t>
  </si>
  <si>
    <t xml:space="preserve">Apex Logistics</t>
  </si>
  <si>
    <t xml:space="preserve">SKU1003</t>
  </si>
  <si>
    <t xml:space="preserve">Wireless Earbuds</t>
  </si>
  <si>
    <t xml:space="preserve">SKU1010</t>
  </si>
  <si>
    <t xml:space="preserve">Sofa Set 3-Seater</t>
  </si>
  <si>
    <t xml:space="preserve">May</t>
  </si>
  <si>
    <t xml:space="preserve">June</t>
  </si>
  <si>
    <t xml:space="preserve">July</t>
  </si>
  <si>
    <t xml:space="preserve">Q3</t>
  </si>
  <si>
    <t xml:space="preserve">SKU1014</t>
  </si>
  <si>
    <t xml:space="preserve">Packaged Snacks</t>
  </si>
  <si>
    <t xml:space="preserve">BlueCrate Supplies</t>
  </si>
  <si>
    <t xml:space="preserve">August</t>
  </si>
  <si>
    <t xml:space="preserve">SKU1012</t>
  </si>
  <si>
    <t xml:space="preserve">Women's Kurti</t>
  </si>
  <si>
    <t xml:space="preserve">SKU1002</t>
  </si>
  <si>
    <t xml:space="preserve">Laptop Pro 14</t>
  </si>
  <si>
    <t xml:space="preserve">September</t>
  </si>
  <si>
    <t xml:space="preserve">October</t>
  </si>
  <si>
    <t xml:space="preserve">Q4</t>
  </si>
  <si>
    <t xml:space="preserve">November</t>
  </si>
  <si>
    <t xml:space="preserve">December</t>
  </si>
  <si>
    <t xml:space="preserve">Metric</t>
  </si>
  <si>
    <t xml:space="preserve">Value</t>
  </si>
  <si>
    <t xml:space="preserve">Total Opening Stock</t>
  </si>
  <si>
    <t xml:space="preserve">Total Incoming Stock</t>
  </si>
  <si>
    <t xml:space="preserve">Total Units Sold</t>
  </si>
  <si>
    <t xml:space="preserve">Total Closing Stock</t>
  </si>
  <si>
    <t xml:space="preserve">Stockout Count</t>
  </si>
  <si>
    <t xml:space="preserve">Reorder Count</t>
  </si>
  <si>
    <t xml:space="preserve">Average Lead Time (Days)</t>
  </si>
  <si>
    <t xml:space="preserve">On-Time Delivery %</t>
  </si>
  <si>
    <t xml:space="preserve">Average Forecast Accuracy %</t>
  </si>
  <si>
    <t xml:space="preserve">Total Inventory Holding Cost</t>
  </si>
  <si>
    <t xml:space="preserve">Average Inventory Turnover Ratio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</si>
</sst>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\$#,##0.00"/>
    <numFmt numFmtId="167" formatCode="0.0%"/>
    <numFmt numFmtId="168" formatCode="0.00"/>
    <numFmt numFmtId="169" formatCode="#,##0"/>
    <numFmt numFmtId="170" formatCode="0.0"/>
    <numFmt numFmtId="171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5" min="14" style="0" width="15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17"/>
    <col collapsed="false" customWidth="true" hidden="false" outlineLevel="0" max="20" min="20" style="0" width="22"/>
    <col collapsed="false" customWidth="true" hidden="false" outlineLevel="0" max="21" min="21" style="0" width="24"/>
    <col collapsed="false" customWidth="true" hidden="false" outlineLevel="0" max="23" min="22" style="0" width="17"/>
    <col collapsed="false" customWidth="true" hidden="false" outlineLevel="0" max="24" min="24" style="0" width="15"/>
    <col collapsed="false" customWidth="true" hidden="false" outlineLevel="0" max="25" min="25" style="0" width="21"/>
    <col collapsed="false" customWidth="true" hidden="false" outlineLevel="0" max="26" min="26" style="0" width="2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n">
        <v>45299</v>
      </c>
      <c r="B2" s="3" t="s">
        <v>26</v>
      </c>
      <c r="C2" s="3" t="s">
        <v>27</v>
      </c>
      <c r="D2" s="3" t="n">
        <v>2024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n">
        <v>499</v>
      </c>
      <c r="L2" s="3" t="n">
        <v>385</v>
      </c>
      <c r="M2" s="3" t="n">
        <v>478</v>
      </c>
      <c r="N2" s="3" t="n">
        <f aca="false">K2+L2-M2</f>
        <v>406</v>
      </c>
      <c r="O2" s="3" t="n">
        <v>397</v>
      </c>
      <c r="P2" s="3" t="str">
        <f aca="false">IF(N2&lt;=O2,"Reorder Needed","Sufficient")</f>
        <v>Sufficient</v>
      </c>
      <c r="Q2" s="3" t="n">
        <v>21</v>
      </c>
      <c r="R2" s="3" t="n">
        <v>956</v>
      </c>
      <c r="S2" s="3" t="str">
        <f aca="false">IF(T2&gt;Q2,"Delayed","On Time")</f>
        <v>On Time</v>
      </c>
      <c r="T2" s="3" t="n">
        <v>18</v>
      </c>
      <c r="U2" s="4" t="n">
        <v>11183.29</v>
      </c>
      <c r="V2" s="3" t="str">
        <f aca="false">IF(N2&lt;=0,"Yes","No")</f>
        <v>No</v>
      </c>
      <c r="W2" s="3" t="n">
        <v>133</v>
      </c>
      <c r="X2" s="3" t="n">
        <v>148</v>
      </c>
      <c r="Y2" s="5" t="n">
        <f aca="false">IFERROR(1-ABS(W2-X2)/X2,0)</f>
        <v>0.898648648648649</v>
      </c>
      <c r="Z2" s="6" t="n">
        <f aca="false">IFERROR(M2/((K2+N2)/2),0)</f>
        <v>1.05635359116022</v>
      </c>
    </row>
    <row r="3" customFormat="false" ht="15" hidden="false" customHeight="false" outlineLevel="0" collapsed="false">
      <c r="A3" s="2" t="n">
        <v>45309</v>
      </c>
      <c r="B3" s="3" t="s">
        <v>26</v>
      </c>
      <c r="C3" s="3" t="s">
        <v>27</v>
      </c>
      <c r="D3" s="3" t="n">
        <v>2024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n">
        <v>1471</v>
      </c>
      <c r="L3" s="3" t="n">
        <v>593</v>
      </c>
      <c r="M3" s="3" t="n">
        <v>518</v>
      </c>
      <c r="N3" s="3" t="n">
        <f aca="false">K3+L3-M3</f>
        <v>1546</v>
      </c>
      <c r="O3" s="3" t="n">
        <v>382</v>
      </c>
      <c r="P3" s="3" t="str">
        <f aca="false">IF(N3&lt;=O3,"Reorder Needed","Sufficient")</f>
        <v>Sufficient</v>
      </c>
      <c r="Q3" s="3" t="n">
        <v>16</v>
      </c>
      <c r="R3" s="3" t="n">
        <v>861</v>
      </c>
      <c r="S3" s="3" t="str">
        <f aca="false">IF(T3&gt;Q3,"Delayed","On Time")</f>
        <v>Delayed</v>
      </c>
      <c r="T3" s="3" t="n">
        <v>17</v>
      </c>
      <c r="U3" s="4" t="n">
        <v>12095.92</v>
      </c>
      <c r="V3" s="3" t="str">
        <f aca="false">IF(N3&lt;=0,"Yes","No")</f>
        <v>No</v>
      </c>
      <c r="W3" s="3" t="n">
        <v>1493</v>
      </c>
      <c r="X3" s="3" t="n">
        <v>1812</v>
      </c>
      <c r="Y3" s="5" t="n">
        <f aca="false">IFERROR(1-ABS(W3-X3)/X3,0)</f>
        <v>0.823951434878587</v>
      </c>
      <c r="Z3" s="6" t="n">
        <f aca="false">IFERROR(M3/((K3+N3)/2),0)</f>
        <v>0.34338747099768</v>
      </c>
    </row>
    <row r="4" customFormat="false" ht="15" hidden="false" customHeight="false" outlineLevel="0" collapsed="false">
      <c r="A4" s="2" t="n">
        <v>45313</v>
      </c>
      <c r="B4" s="3" t="s">
        <v>26</v>
      </c>
      <c r="C4" s="3" t="s">
        <v>27</v>
      </c>
      <c r="D4" s="3" t="n">
        <v>2024</v>
      </c>
      <c r="E4" s="3" t="s">
        <v>34</v>
      </c>
      <c r="F4" s="3" t="s">
        <v>35</v>
      </c>
      <c r="G4" s="3" t="s">
        <v>36</v>
      </c>
      <c r="H4" s="3" t="s">
        <v>40</v>
      </c>
      <c r="I4" s="3" t="s">
        <v>41</v>
      </c>
      <c r="J4" s="3" t="s">
        <v>33</v>
      </c>
      <c r="K4" s="3" t="n">
        <v>322</v>
      </c>
      <c r="L4" s="3" t="n">
        <v>399</v>
      </c>
      <c r="M4" s="3" t="n">
        <v>136</v>
      </c>
      <c r="N4" s="3" t="n">
        <f aca="false">K4+L4-M4</f>
        <v>585</v>
      </c>
      <c r="O4" s="3" t="n">
        <v>231</v>
      </c>
      <c r="P4" s="3" t="str">
        <f aca="false">IF(N4&lt;=O4,"Reorder Needed","Sufficient")</f>
        <v>Sufficient</v>
      </c>
      <c r="Q4" s="3" t="n">
        <v>16</v>
      </c>
      <c r="R4" s="3" t="n">
        <v>353</v>
      </c>
      <c r="S4" s="3" t="str">
        <f aca="false">IF(T4&gt;Q4,"Delayed","On Time")</f>
        <v>On Time</v>
      </c>
      <c r="T4" s="3" t="n">
        <v>16</v>
      </c>
      <c r="U4" s="4" t="n">
        <v>6586.86</v>
      </c>
      <c r="V4" s="3" t="str">
        <f aca="false">IF(N4&lt;=0,"Yes","No")</f>
        <v>No</v>
      </c>
      <c r="W4" s="3" t="n">
        <v>888</v>
      </c>
      <c r="X4" s="3" t="n">
        <v>904</v>
      </c>
      <c r="Y4" s="5" t="n">
        <f aca="false">IFERROR(1-ABS(W4-X4)/X4,0)</f>
        <v>0.982300884955752</v>
      </c>
      <c r="Z4" s="6" t="n">
        <f aca="false">IFERROR(M4/((K4+N4)/2),0)</f>
        <v>0.299889746416759</v>
      </c>
    </row>
    <row r="5" customFormat="false" ht="15" hidden="false" customHeight="false" outlineLevel="0" collapsed="false">
      <c r="A5" s="2" t="n">
        <v>45317</v>
      </c>
      <c r="B5" s="3" t="s">
        <v>26</v>
      </c>
      <c r="C5" s="3" t="s">
        <v>27</v>
      </c>
      <c r="D5" s="3" t="n">
        <v>2024</v>
      </c>
      <c r="E5" s="3" t="s">
        <v>42</v>
      </c>
      <c r="F5" s="3" t="s">
        <v>43</v>
      </c>
      <c r="G5" s="3" t="s">
        <v>44</v>
      </c>
      <c r="H5" s="3" t="s">
        <v>37</v>
      </c>
      <c r="I5" s="3" t="s">
        <v>45</v>
      </c>
      <c r="J5" s="3" t="s">
        <v>46</v>
      </c>
      <c r="K5" s="3" t="n">
        <v>609</v>
      </c>
      <c r="L5" s="3" t="n">
        <v>587</v>
      </c>
      <c r="M5" s="3" t="n">
        <v>795</v>
      </c>
      <c r="N5" s="3" t="n">
        <f aca="false">K5+L5-M5</f>
        <v>401</v>
      </c>
      <c r="O5" s="3" t="n">
        <v>155</v>
      </c>
      <c r="P5" s="3" t="str">
        <f aca="false">IF(N5&lt;=O5,"Reorder Needed","Sufficient")</f>
        <v>Sufficient</v>
      </c>
      <c r="Q5" s="3" t="n">
        <v>17</v>
      </c>
      <c r="R5" s="3" t="n">
        <v>712</v>
      </c>
      <c r="S5" s="3" t="str">
        <f aca="false">IF(T5&gt;Q5,"Delayed","On Time")</f>
        <v>Delayed</v>
      </c>
      <c r="T5" s="3" t="n">
        <v>22</v>
      </c>
      <c r="U5" s="4" t="n">
        <v>609.72</v>
      </c>
      <c r="V5" s="3" t="str">
        <f aca="false">IF(N5&lt;=0,"Yes","No")</f>
        <v>No</v>
      </c>
      <c r="W5" s="3" t="n">
        <v>1427</v>
      </c>
      <c r="X5" s="3" t="n">
        <v>1678</v>
      </c>
      <c r="Y5" s="5" t="n">
        <f aca="false">IFERROR(1-ABS(W5-X5)/X5,0)</f>
        <v>0.850417163289631</v>
      </c>
      <c r="Z5" s="6" t="n">
        <f aca="false">IFERROR(M5/((K5+N5)/2),0)</f>
        <v>1.57425742574257</v>
      </c>
    </row>
    <row r="6" customFormat="false" ht="15" hidden="false" customHeight="false" outlineLevel="0" collapsed="false">
      <c r="A6" s="2" t="n">
        <v>45320</v>
      </c>
      <c r="B6" s="3" t="s">
        <v>26</v>
      </c>
      <c r="C6" s="3" t="s">
        <v>27</v>
      </c>
      <c r="D6" s="3" t="n">
        <v>2024</v>
      </c>
      <c r="E6" s="3" t="s">
        <v>47</v>
      </c>
      <c r="F6" s="3" t="s">
        <v>48</v>
      </c>
      <c r="G6" s="3" t="s">
        <v>44</v>
      </c>
      <c r="H6" s="3" t="s">
        <v>40</v>
      </c>
      <c r="I6" s="3" t="s">
        <v>41</v>
      </c>
      <c r="J6" s="3" t="s">
        <v>33</v>
      </c>
      <c r="K6" s="3" t="n">
        <v>1024</v>
      </c>
      <c r="L6" s="3" t="n">
        <v>628</v>
      </c>
      <c r="M6" s="3" t="n">
        <v>419</v>
      </c>
      <c r="N6" s="3" t="n">
        <f aca="false">K6+L6-M6</f>
        <v>1233</v>
      </c>
      <c r="O6" s="3" t="n">
        <v>267</v>
      </c>
      <c r="P6" s="3" t="str">
        <f aca="false">IF(N6&lt;=O6,"Reorder Needed","Sufficient")</f>
        <v>Sufficient</v>
      </c>
      <c r="Q6" s="3" t="n">
        <v>2</v>
      </c>
      <c r="R6" s="3" t="n">
        <v>421</v>
      </c>
      <c r="S6" s="3" t="str">
        <f aca="false">IF(T6&gt;Q6,"Delayed","On Time")</f>
        <v>Delayed</v>
      </c>
      <c r="T6" s="3" t="n">
        <v>6</v>
      </c>
      <c r="U6" s="4" t="n">
        <v>4459.75</v>
      </c>
      <c r="V6" s="3" t="str">
        <f aca="false">IF(N6&lt;=0,"Yes","No")</f>
        <v>No</v>
      </c>
      <c r="W6" s="3" t="n">
        <v>972</v>
      </c>
      <c r="X6" s="3" t="n">
        <v>887</v>
      </c>
      <c r="Y6" s="5" t="n">
        <f aca="false">IFERROR(1-ABS(W6-X6)/X6,0)</f>
        <v>0.904171364148816</v>
      </c>
      <c r="Z6" s="6" t="n">
        <f aca="false">IFERROR(M6/((K6+N6)/2),0)</f>
        <v>0.371289322108994</v>
      </c>
    </row>
    <row r="7" customFormat="false" ht="15" hidden="false" customHeight="false" outlineLevel="0" collapsed="false">
      <c r="A7" s="2" t="n">
        <v>45320</v>
      </c>
      <c r="B7" s="3" t="s">
        <v>26</v>
      </c>
      <c r="C7" s="3" t="s">
        <v>27</v>
      </c>
      <c r="D7" s="3" t="n">
        <v>2024</v>
      </c>
      <c r="E7" s="3" t="s">
        <v>49</v>
      </c>
      <c r="F7" s="3" t="s">
        <v>50</v>
      </c>
      <c r="G7" s="3" t="s">
        <v>30</v>
      </c>
      <c r="H7" s="3" t="s">
        <v>31</v>
      </c>
      <c r="I7" s="3" t="s">
        <v>45</v>
      </c>
      <c r="J7" s="3" t="s">
        <v>46</v>
      </c>
      <c r="K7" s="3" t="n">
        <v>1039</v>
      </c>
      <c r="L7" s="3" t="n">
        <v>751</v>
      </c>
      <c r="M7" s="3" t="n">
        <v>62</v>
      </c>
      <c r="N7" s="3" t="n">
        <f aca="false">K7+L7-M7</f>
        <v>1728</v>
      </c>
      <c r="O7" s="3" t="n">
        <v>117</v>
      </c>
      <c r="P7" s="3" t="str">
        <f aca="false">IF(N7&lt;=O7,"Reorder Needed","Sufficient")</f>
        <v>Sufficient</v>
      </c>
      <c r="Q7" s="3" t="n">
        <v>10</v>
      </c>
      <c r="R7" s="3" t="n">
        <v>791</v>
      </c>
      <c r="S7" s="3" t="str">
        <f aca="false">IF(T7&gt;Q7,"Delayed","On Time")</f>
        <v>Delayed</v>
      </c>
      <c r="T7" s="3" t="n">
        <v>14</v>
      </c>
      <c r="U7" s="4" t="n">
        <v>9054.28</v>
      </c>
      <c r="V7" s="3" t="str">
        <f aca="false">IF(N7&lt;=0,"Yes","No")</f>
        <v>No</v>
      </c>
      <c r="W7" s="3" t="n">
        <v>1581</v>
      </c>
      <c r="X7" s="3" t="n">
        <v>1422</v>
      </c>
      <c r="Y7" s="5" t="n">
        <f aca="false">IFERROR(1-ABS(W7-X7)/X7,0)</f>
        <v>0.888185654008439</v>
      </c>
      <c r="Z7" s="6" t="n">
        <f aca="false">IFERROR(M7/((K7+N7)/2),0)</f>
        <v>0.0448138778460427</v>
      </c>
    </row>
    <row r="8" customFormat="false" ht="15" hidden="false" customHeight="false" outlineLevel="0" collapsed="false">
      <c r="A8" s="2" t="n">
        <v>45347</v>
      </c>
      <c r="B8" s="3" t="s">
        <v>51</v>
      </c>
      <c r="C8" s="3" t="s">
        <v>27</v>
      </c>
      <c r="D8" s="3" t="n">
        <v>2024</v>
      </c>
      <c r="E8" s="3" t="s">
        <v>49</v>
      </c>
      <c r="F8" s="3" t="s">
        <v>50</v>
      </c>
      <c r="G8" s="3" t="s">
        <v>30</v>
      </c>
      <c r="H8" s="3" t="s">
        <v>52</v>
      </c>
      <c r="I8" s="3" t="s">
        <v>38</v>
      </c>
      <c r="J8" s="3" t="s">
        <v>39</v>
      </c>
      <c r="K8" s="3" t="n">
        <v>60</v>
      </c>
      <c r="L8" s="3" t="n">
        <v>365</v>
      </c>
      <c r="M8" s="3" t="n">
        <v>131</v>
      </c>
      <c r="N8" s="3" t="n">
        <f aca="false">K8+L8-M8</f>
        <v>294</v>
      </c>
      <c r="O8" s="3" t="n">
        <v>149</v>
      </c>
      <c r="P8" s="3" t="str">
        <f aca="false">IF(N8&lt;=O8,"Reorder Needed","Sufficient")</f>
        <v>Sufficient</v>
      </c>
      <c r="Q8" s="3" t="n">
        <v>9</v>
      </c>
      <c r="R8" s="3" t="n">
        <v>376</v>
      </c>
      <c r="S8" s="3" t="str">
        <f aca="false">IF(T8&gt;Q8,"Delayed","On Time")</f>
        <v>On Time</v>
      </c>
      <c r="T8" s="3" t="n">
        <v>6</v>
      </c>
      <c r="U8" s="4" t="n">
        <v>5929.73</v>
      </c>
      <c r="V8" s="3" t="str">
        <f aca="false">IF(N8&lt;=0,"Yes","No")</f>
        <v>No</v>
      </c>
      <c r="W8" s="3" t="n">
        <v>140</v>
      </c>
      <c r="X8" s="3" t="n">
        <v>169</v>
      </c>
      <c r="Y8" s="5" t="n">
        <f aca="false">IFERROR(1-ABS(W8-X8)/X8,0)</f>
        <v>0.828402366863905</v>
      </c>
      <c r="Z8" s="6" t="n">
        <f aca="false">IFERROR(M8/((K8+N8)/2),0)</f>
        <v>0.740112994350282</v>
      </c>
    </row>
    <row r="9" customFormat="false" ht="15" hidden="false" customHeight="false" outlineLevel="0" collapsed="false">
      <c r="A9" s="2" t="n">
        <v>45348</v>
      </c>
      <c r="B9" s="3" t="s">
        <v>51</v>
      </c>
      <c r="C9" s="3" t="s">
        <v>27</v>
      </c>
      <c r="D9" s="3" t="n">
        <v>2024</v>
      </c>
      <c r="E9" s="3" t="s">
        <v>53</v>
      </c>
      <c r="F9" s="3" t="s">
        <v>54</v>
      </c>
      <c r="G9" s="3" t="s">
        <v>36</v>
      </c>
      <c r="H9" s="3" t="s">
        <v>52</v>
      </c>
      <c r="I9" s="3" t="s">
        <v>55</v>
      </c>
      <c r="J9" s="3" t="s">
        <v>56</v>
      </c>
      <c r="K9" s="3" t="n">
        <v>571</v>
      </c>
      <c r="L9" s="3" t="n">
        <v>122</v>
      </c>
      <c r="M9" s="3" t="n">
        <v>531</v>
      </c>
      <c r="N9" s="3" t="n">
        <f aca="false">K9+L9-M9</f>
        <v>162</v>
      </c>
      <c r="O9" s="3" t="n">
        <v>79</v>
      </c>
      <c r="P9" s="3" t="str">
        <f aca="false">IF(N9&lt;=O9,"Reorder Needed","Sufficient")</f>
        <v>Sufficient</v>
      </c>
      <c r="Q9" s="3" t="n">
        <v>12</v>
      </c>
      <c r="R9" s="3" t="n">
        <v>176</v>
      </c>
      <c r="S9" s="3" t="str">
        <f aca="false">IF(T9&gt;Q9,"Delayed","On Time")</f>
        <v>Delayed</v>
      </c>
      <c r="T9" s="3" t="n">
        <v>14</v>
      </c>
      <c r="U9" s="4" t="n">
        <v>8758.26</v>
      </c>
      <c r="V9" s="3" t="str">
        <f aca="false">IF(N9&lt;=0,"Yes","No")</f>
        <v>No</v>
      </c>
      <c r="W9" s="3" t="n">
        <v>1170</v>
      </c>
      <c r="X9" s="3" t="n">
        <v>1061</v>
      </c>
      <c r="Y9" s="5" t="n">
        <f aca="false">IFERROR(1-ABS(W9-X9)/X9,0)</f>
        <v>0.897266729500471</v>
      </c>
      <c r="Z9" s="6" t="n">
        <f aca="false">IFERROR(M9/((K9+N9)/2),0)</f>
        <v>1.44884038199181</v>
      </c>
    </row>
    <row r="10" customFormat="false" ht="15" hidden="false" customHeight="false" outlineLevel="0" collapsed="false">
      <c r="A10" s="2" t="n">
        <v>45350</v>
      </c>
      <c r="B10" s="3" t="s">
        <v>51</v>
      </c>
      <c r="C10" s="3" t="s">
        <v>27</v>
      </c>
      <c r="D10" s="3" t="n">
        <v>2024</v>
      </c>
      <c r="E10" s="3" t="s">
        <v>47</v>
      </c>
      <c r="F10" s="3" t="s">
        <v>48</v>
      </c>
      <c r="G10" s="3" t="s">
        <v>44</v>
      </c>
      <c r="H10" s="3" t="s">
        <v>52</v>
      </c>
      <c r="I10" s="3" t="s">
        <v>38</v>
      </c>
      <c r="J10" s="3" t="s">
        <v>39</v>
      </c>
      <c r="K10" s="3" t="n">
        <v>711</v>
      </c>
      <c r="L10" s="3" t="n">
        <v>721</v>
      </c>
      <c r="M10" s="3" t="n">
        <v>7</v>
      </c>
      <c r="N10" s="3" t="n">
        <f aca="false">K10+L10-M10</f>
        <v>1425</v>
      </c>
      <c r="O10" s="3" t="n">
        <v>68</v>
      </c>
      <c r="P10" s="3" t="str">
        <f aca="false">IF(N10&lt;=O10,"Reorder Needed","Sufficient")</f>
        <v>Sufficient</v>
      </c>
      <c r="Q10" s="3" t="n">
        <v>13</v>
      </c>
      <c r="R10" s="3" t="n">
        <v>779</v>
      </c>
      <c r="S10" s="3" t="str">
        <f aca="false">IF(T10&gt;Q10,"Delayed","On Time")</f>
        <v>On Time</v>
      </c>
      <c r="T10" s="3" t="n">
        <v>13</v>
      </c>
      <c r="U10" s="4" t="n">
        <v>7589.22</v>
      </c>
      <c r="V10" s="3" t="str">
        <f aca="false">IF(N10&lt;=0,"Yes","No")</f>
        <v>No</v>
      </c>
      <c r="W10" s="3" t="n">
        <v>1060</v>
      </c>
      <c r="X10" s="3" t="n">
        <v>1079</v>
      </c>
      <c r="Y10" s="5" t="n">
        <f aca="false">IFERROR(1-ABS(W10-X10)/X10,0)</f>
        <v>0.982391102873031</v>
      </c>
      <c r="Z10" s="6" t="n">
        <f aca="false">IFERROR(M10/((K10+N10)/2),0)</f>
        <v>0.00655430711610487</v>
      </c>
    </row>
    <row r="11" customFormat="false" ht="15" hidden="false" customHeight="false" outlineLevel="0" collapsed="false">
      <c r="A11" s="2" t="n">
        <v>45355</v>
      </c>
      <c r="B11" s="3" t="s">
        <v>57</v>
      </c>
      <c r="C11" s="3" t="s">
        <v>27</v>
      </c>
      <c r="D11" s="3" t="n">
        <v>2024</v>
      </c>
      <c r="E11" s="3" t="s">
        <v>58</v>
      </c>
      <c r="F11" s="3" t="s">
        <v>59</v>
      </c>
      <c r="G11" s="3" t="s">
        <v>60</v>
      </c>
      <c r="H11" s="3" t="s">
        <v>61</v>
      </c>
      <c r="I11" s="3" t="s">
        <v>41</v>
      </c>
      <c r="J11" s="3" t="s">
        <v>33</v>
      </c>
      <c r="K11" s="3" t="n">
        <v>742</v>
      </c>
      <c r="L11" s="3" t="n">
        <v>562</v>
      </c>
      <c r="M11" s="3" t="n">
        <v>1075</v>
      </c>
      <c r="N11" s="3" t="n">
        <f aca="false">K11+L11-M11</f>
        <v>229</v>
      </c>
      <c r="O11" s="3" t="n">
        <v>317</v>
      </c>
      <c r="P11" s="3" t="str">
        <f aca="false">IF(N11&lt;=O11,"Reorder Needed","Sufficient")</f>
        <v>Reorder Needed</v>
      </c>
      <c r="Q11" s="3" t="n">
        <v>5</v>
      </c>
      <c r="R11" s="3" t="n">
        <v>760</v>
      </c>
      <c r="S11" s="3" t="str">
        <f aca="false">IF(T11&gt;Q11,"Delayed","On Time")</f>
        <v>Delayed</v>
      </c>
      <c r="T11" s="3" t="n">
        <v>7</v>
      </c>
      <c r="U11" s="4" t="n">
        <v>5198.8</v>
      </c>
      <c r="V11" s="3" t="str">
        <f aca="false">IF(N11&lt;=0,"Yes","No")</f>
        <v>No</v>
      </c>
      <c r="W11" s="3" t="n">
        <v>208</v>
      </c>
      <c r="X11" s="3" t="n">
        <v>245</v>
      </c>
      <c r="Y11" s="5" t="n">
        <f aca="false">IFERROR(1-ABS(W11-X11)/X11,0)</f>
        <v>0.848979591836735</v>
      </c>
      <c r="Z11" s="6" t="n">
        <f aca="false">IFERROR(M11/((K11+N11)/2),0)</f>
        <v>2.21421215242019</v>
      </c>
    </row>
    <row r="12" customFormat="false" ht="15" hidden="false" customHeight="false" outlineLevel="0" collapsed="false">
      <c r="A12" s="2" t="n">
        <v>45359</v>
      </c>
      <c r="B12" s="3" t="s">
        <v>57</v>
      </c>
      <c r="C12" s="3" t="s">
        <v>27</v>
      </c>
      <c r="D12" s="3" t="n">
        <v>2024</v>
      </c>
      <c r="E12" s="3" t="s">
        <v>62</v>
      </c>
      <c r="F12" s="3" t="s">
        <v>63</v>
      </c>
      <c r="G12" s="3" t="s">
        <v>64</v>
      </c>
      <c r="H12" s="3" t="s">
        <v>65</v>
      </c>
      <c r="I12" s="3" t="s">
        <v>38</v>
      </c>
      <c r="J12" s="3" t="s">
        <v>39</v>
      </c>
      <c r="K12" s="3" t="n">
        <v>204</v>
      </c>
      <c r="L12" s="3" t="n">
        <v>490</v>
      </c>
      <c r="M12" s="3" t="n">
        <v>40</v>
      </c>
      <c r="N12" s="3" t="n">
        <f aca="false">K12+L12-M12</f>
        <v>654</v>
      </c>
      <c r="O12" s="3" t="n">
        <v>365</v>
      </c>
      <c r="P12" s="3" t="str">
        <f aca="false">IF(N12&lt;=O12,"Reorder Needed","Sufficient")</f>
        <v>Sufficient</v>
      </c>
      <c r="Q12" s="3" t="n">
        <v>13</v>
      </c>
      <c r="R12" s="3" t="n">
        <v>67</v>
      </c>
      <c r="S12" s="3" t="str">
        <f aca="false">IF(T12&gt;Q12,"Delayed","On Time")</f>
        <v>Delayed</v>
      </c>
      <c r="T12" s="3" t="n">
        <v>14</v>
      </c>
      <c r="U12" s="4" t="n">
        <v>3251.73</v>
      </c>
      <c r="V12" s="3" t="str">
        <f aca="false">IF(N12&lt;=0,"Yes","No")</f>
        <v>No</v>
      </c>
      <c r="W12" s="3" t="n">
        <v>852</v>
      </c>
      <c r="X12" s="3" t="n">
        <v>752</v>
      </c>
      <c r="Y12" s="5" t="n">
        <f aca="false">IFERROR(1-ABS(W12-X12)/X12,0)</f>
        <v>0.867021276595745</v>
      </c>
      <c r="Z12" s="6" t="n">
        <f aca="false">IFERROR(M12/((K12+N12)/2),0)</f>
        <v>0.0932400932400933</v>
      </c>
    </row>
    <row r="13" customFormat="false" ht="15" hidden="false" customHeight="false" outlineLevel="0" collapsed="false">
      <c r="A13" s="2" t="n">
        <v>45359</v>
      </c>
      <c r="B13" s="3" t="s">
        <v>57</v>
      </c>
      <c r="C13" s="3" t="s">
        <v>27</v>
      </c>
      <c r="D13" s="3" t="n">
        <v>2024</v>
      </c>
      <c r="E13" s="3" t="s">
        <v>66</v>
      </c>
      <c r="F13" s="3" t="s">
        <v>67</v>
      </c>
      <c r="G13" s="3" t="s">
        <v>64</v>
      </c>
      <c r="H13" s="3" t="s">
        <v>40</v>
      </c>
      <c r="I13" s="3" t="s">
        <v>55</v>
      </c>
      <c r="J13" s="3" t="s">
        <v>56</v>
      </c>
      <c r="K13" s="3" t="n">
        <v>1190</v>
      </c>
      <c r="L13" s="3" t="n">
        <v>737</v>
      </c>
      <c r="M13" s="3" t="n">
        <v>1631</v>
      </c>
      <c r="N13" s="3" t="n">
        <f aca="false">K13+L13-M13</f>
        <v>296</v>
      </c>
      <c r="O13" s="3" t="n">
        <v>63</v>
      </c>
      <c r="P13" s="3" t="str">
        <f aca="false">IF(N13&lt;=O13,"Reorder Needed","Sufficient")</f>
        <v>Sufficient</v>
      </c>
      <c r="Q13" s="3" t="n">
        <v>20</v>
      </c>
      <c r="R13" s="3" t="n">
        <v>415</v>
      </c>
      <c r="S13" s="3" t="str">
        <f aca="false">IF(T13&gt;Q13,"Delayed","On Time")</f>
        <v>On Time</v>
      </c>
      <c r="T13" s="3" t="n">
        <v>17</v>
      </c>
      <c r="U13" s="4" t="n">
        <v>3243.37</v>
      </c>
      <c r="V13" s="3" t="str">
        <f aca="false">IF(N13&lt;=0,"Yes","No")</f>
        <v>No</v>
      </c>
      <c r="W13" s="3" t="n">
        <v>1445</v>
      </c>
      <c r="X13" s="3" t="n">
        <v>1586</v>
      </c>
      <c r="Y13" s="5" t="n">
        <f aca="false">IFERROR(1-ABS(W13-X13)/X13,0)</f>
        <v>0.91109709962169</v>
      </c>
      <c r="Z13" s="6" t="n">
        <f aca="false">IFERROR(M13/((K13+N13)/2),0)</f>
        <v>2.19515477792732</v>
      </c>
    </row>
    <row r="14" customFormat="false" ht="15" hidden="false" customHeight="false" outlineLevel="0" collapsed="false">
      <c r="A14" s="2" t="n">
        <v>45376</v>
      </c>
      <c r="B14" s="3" t="s">
        <v>57</v>
      </c>
      <c r="C14" s="3" t="s">
        <v>27</v>
      </c>
      <c r="D14" s="3" t="n">
        <v>2024</v>
      </c>
      <c r="E14" s="3" t="s">
        <v>68</v>
      </c>
      <c r="F14" s="3" t="s">
        <v>69</v>
      </c>
      <c r="G14" s="3" t="s">
        <v>60</v>
      </c>
      <c r="H14" s="3" t="s">
        <v>65</v>
      </c>
      <c r="I14" s="3" t="s">
        <v>38</v>
      </c>
      <c r="J14" s="3" t="s">
        <v>39</v>
      </c>
      <c r="K14" s="3" t="n">
        <v>72</v>
      </c>
      <c r="L14" s="3" t="n">
        <v>485</v>
      </c>
      <c r="M14" s="3" t="n">
        <v>445</v>
      </c>
      <c r="N14" s="3" t="n">
        <f aca="false">K14+L14-M14</f>
        <v>112</v>
      </c>
      <c r="O14" s="3" t="n">
        <v>88</v>
      </c>
      <c r="P14" s="3" t="str">
        <f aca="false">IF(N14&lt;=O14,"Reorder Needed","Sufficient")</f>
        <v>Sufficient</v>
      </c>
      <c r="Q14" s="3" t="n">
        <v>17</v>
      </c>
      <c r="R14" s="3" t="n">
        <v>285</v>
      </c>
      <c r="S14" s="3" t="str">
        <f aca="false">IF(T14&gt;Q14,"Delayed","On Time")</f>
        <v>On Time</v>
      </c>
      <c r="T14" s="3" t="n">
        <v>15</v>
      </c>
      <c r="U14" s="4" t="n">
        <v>4502.44</v>
      </c>
      <c r="V14" s="3" t="str">
        <f aca="false">IF(N14&lt;=0,"Yes","No")</f>
        <v>No</v>
      </c>
      <c r="W14" s="3" t="n">
        <v>1557</v>
      </c>
      <c r="X14" s="3" t="n">
        <v>1201</v>
      </c>
      <c r="Y14" s="5" t="n">
        <f aca="false">IFERROR(1-ABS(W14-X14)/X14,0)</f>
        <v>0.703580349708576</v>
      </c>
      <c r="Z14" s="6" t="n">
        <f aca="false">IFERROR(M14/((K14+N14)/2),0)</f>
        <v>4.83695652173913</v>
      </c>
    </row>
    <row r="15" customFormat="false" ht="15" hidden="false" customHeight="false" outlineLevel="0" collapsed="false">
      <c r="A15" s="2" t="n">
        <v>45384</v>
      </c>
      <c r="B15" s="3" t="s">
        <v>70</v>
      </c>
      <c r="C15" s="3" t="s">
        <v>71</v>
      </c>
      <c r="D15" s="3" t="n">
        <v>2024</v>
      </c>
      <c r="E15" s="3" t="s">
        <v>72</v>
      </c>
      <c r="F15" s="3" t="s">
        <v>73</v>
      </c>
      <c r="G15" s="3" t="s">
        <v>30</v>
      </c>
      <c r="H15" s="3" t="s">
        <v>31</v>
      </c>
      <c r="I15" s="3" t="s">
        <v>45</v>
      </c>
      <c r="J15" s="3" t="s">
        <v>46</v>
      </c>
      <c r="K15" s="3" t="n">
        <v>213</v>
      </c>
      <c r="L15" s="3" t="n">
        <v>765</v>
      </c>
      <c r="M15" s="3" t="n">
        <v>90</v>
      </c>
      <c r="N15" s="3" t="n">
        <f aca="false">K15+L15-M15</f>
        <v>888</v>
      </c>
      <c r="O15" s="3" t="n">
        <v>230</v>
      </c>
      <c r="P15" s="3" t="str">
        <f aca="false">IF(N15&lt;=O15,"Reorder Needed","Sufficient")</f>
        <v>Sufficient</v>
      </c>
      <c r="Q15" s="3" t="n">
        <v>17</v>
      </c>
      <c r="R15" s="3" t="n">
        <v>603</v>
      </c>
      <c r="S15" s="3" t="str">
        <f aca="false">IF(T15&gt;Q15,"Delayed","On Time")</f>
        <v>Delayed</v>
      </c>
      <c r="T15" s="3" t="n">
        <v>20</v>
      </c>
      <c r="U15" s="4" t="n">
        <v>6124.57</v>
      </c>
      <c r="V15" s="3" t="str">
        <f aca="false">IF(N15&lt;=0,"Yes","No")</f>
        <v>No</v>
      </c>
      <c r="W15" s="3" t="n">
        <v>930</v>
      </c>
      <c r="X15" s="3" t="n">
        <v>828</v>
      </c>
      <c r="Y15" s="5" t="n">
        <f aca="false">IFERROR(1-ABS(W15-X15)/X15,0)</f>
        <v>0.876811594202899</v>
      </c>
      <c r="Z15" s="6" t="n">
        <f aca="false">IFERROR(M15/((K15+N15)/2),0)</f>
        <v>0.163487738419619</v>
      </c>
    </row>
    <row r="16" customFormat="false" ht="15" hidden="false" customHeight="false" outlineLevel="0" collapsed="false">
      <c r="A16" s="2" t="n">
        <v>45385</v>
      </c>
      <c r="B16" s="3" t="s">
        <v>70</v>
      </c>
      <c r="C16" s="3" t="s">
        <v>71</v>
      </c>
      <c r="D16" s="3" t="n">
        <v>2024</v>
      </c>
      <c r="E16" s="3" t="s">
        <v>47</v>
      </c>
      <c r="F16" s="3" t="s">
        <v>48</v>
      </c>
      <c r="G16" s="3" t="s">
        <v>44</v>
      </c>
      <c r="H16" s="3" t="s">
        <v>74</v>
      </c>
      <c r="I16" s="3" t="s">
        <v>32</v>
      </c>
      <c r="J16" s="3" t="s">
        <v>33</v>
      </c>
      <c r="K16" s="3" t="n">
        <v>1392</v>
      </c>
      <c r="L16" s="3" t="n">
        <v>383</v>
      </c>
      <c r="M16" s="3" t="n">
        <v>1898</v>
      </c>
      <c r="N16" s="3" t="n">
        <f aca="false">K16+L16-M16</f>
        <v>-123</v>
      </c>
      <c r="O16" s="3" t="n">
        <v>291</v>
      </c>
      <c r="P16" s="3" t="str">
        <f aca="false">IF(N16&lt;=O16,"Reorder Needed","Sufficient")</f>
        <v>Reorder Needed</v>
      </c>
      <c r="Q16" s="3" t="n">
        <v>3</v>
      </c>
      <c r="R16" s="3" t="n">
        <v>386</v>
      </c>
      <c r="S16" s="3" t="str">
        <f aca="false">IF(T16&gt;Q16,"Delayed","On Time")</f>
        <v>On Time</v>
      </c>
      <c r="T16" s="3" t="n">
        <v>3</v>
      </c>
      <c r="U16" s="4" t="n">
        <v>3978.95</v>
      </c>
      <c r="V16" s="3" t="str">
        <f aca="false">IF(N16&lt;=0,"Yes","No")</f>
        <v>Yes</v>
      </c>
      <c r="W16" s="3" t="n">
        <v>1228</v>
      </c>
      <c r="X16" s="3" t="n">
        <v>1007</v>
      </c>
      <c r="Y16" s="5" t="n">
        <f aca="false">IFERROR(1-ABS(W16-X16)/X16,0)</f>
        <v>0.780536246276068</v>
      </c>
      <c r="Z16" s="6" t="n">
        <f aca="false">IFERROR(M16/((K16+N16)/2),0)</f>
        <v>2.9913317572892</v>
      </c>
    </row>
    <row r="17" customFormat="false" ht="15" hidden="false" customHeight="false" outlineLevel="0" collapsed="false">
      <c r="A17" s="2" t="n">
        <v>45387</v>
      </c>
      <c r="B17" s="3" t="s">
        <v>70</v>
      </c>
      <c r="C17" s="3" t="s">
        <v>71</v>
      </c>
      <c r="D17" s="3" t="n">
        <v>2024</v>
      </c>
      <c r="E17" s="3" t="s">
        <v>34</v>
      </c>
      <c r="F17" s="3" t="s">
        <v>35</v>
      </c>
      <c r="G17" s="3" t="s">
        <v>36</v>
      </c>
      <c r="H17" s="3" t="s">
        <v>40</v>
      </c>
      <c r="I17" s="3" t="s">
        <v>45</v>
      </c>
      <c r="J17" s="3" t="s">
        <v>46</v>
      </c>
      <c r="K17" s="3" t="n">
        <v>393</v>
      </c>
      <c r="L17" s="3" t="n">
        <v>250</v>
      </c>
      <c r="M17" s="3" t="n">
        <v>211</v>
      </c>
      <c r="N17" s="3" t="n">
        <f aca="false">K17+L17-M17</f>
        <v>432</v>
      </c>
      <c r="O17" s="3" t="n">
        <v>137</v>
      </c>
      <c r="P17" s="3" t="str">
        <f aca="false">IF(N17&lt;=O17,"Reorder Needed","Sufficient")</f>
        <v>Sufficient</v>
      </c>
      <c r="Q17" s="3" t="n">
        <v>2</v>
      </c>
      <c r="R17" s="3" t="n">
        <v>737</v>
      </c>
      <c r="S17" s="3" t="str">
        <f aca="false">IF(T17&gt;Q17,"Delayed","On Time")</f>
        <v>Delayed</v>
      </c>
      <c r="T17" s="3" t="n">
        <v>8</v>
      </c>
      <c r="U17" s="4" t="n">
        <v>1263.71</v>
      </c>
      <c r="V17" s="3" t="str">
        <f aca="false">IF(N17&lt;=0,"Yes","No")</f>
        <v>No</v>
      </c>
      <c r="W17" s="3" t="n">
        <v>661</v>
      </c>
      <c r="X17" s="3" t="n">
        <v>713</v>
      </c>
      <c r="Y17" s="5" t="n">
        <f aca="false">IFERROR(1-ABS(W17-X17)/X17,0)</f>
        <v>0.927068723702665</v>
      </c>
      <c r="Z17" s="6" t="n">
        <f aca="false">IFERROR(M17/((K17+N17)/2),0)</f>
        <v>0.511515151515152</v>
      </c>
    </row>
    <row r="18" customFormat="false" ht="15" hidden="false" customHeight="false" outlineLevel="0" collapsed="false">
      <c r="A18" s="2" t="n">
        <v>45393</v>
      </c>
      <c r="B18" s="3" t="s">
        <v>70</v>
      </c>
      <c r="C18" s="3" t="s">
        <v>71</v>
      </c>
      <c r="D18" s="3" t="n">
        <v>2024</v>
      </c>
      <c r="E18" s="3" t="s">
        <v>49</v>
      </c>
      <c r="F18" s="3" t="s">
        <v>50</v>
      </c>
      <c r="G18" s="3" t="s">
        <v>30</v>
      </c>
      <c r="H18" s="3" t="s">
        <v>74</v>
      </c>
      <c r="I18" s="3" t="s">
        <v>32</v>
      </c>
      <c r="J18" s="3" t="s">
        <v>33</v>
      </c>
      <c r="K18" s="3" t="n">
        <v>510</v>
      </c>
      <c r="L18" s="3" t="n">
        <v>490</v>
      </c>
      <c r="M18" s="3" t="n">
        <v>424</v>
      </c>
      <c r="N18" s="3" t="n">
        <f aca="false">K18+L18-M18</f>
        <v>576</v>
      </c>
      <c r="O18" s="3" t="n">
        <v>155</v>
      </c>
      <c r="P18" s="3" t="str">
        <f aca="false">IF(N18&lt;=O18,"Reorder Needed","Sufficient")</f>
        <v>Sufficient</v>
      </c>
      <c r="Q18" s="3" t="n">
        <v>13</v>
      </c>
      <c r="R18" s="3" t="n">
        <v>104</v>
      </c>
      <c r="S18" s="3" t="str">
        <f aca="false">IF(T18&gt;Q18,"Delayed","On Time")</f>
        <v>Delayed</v>
      </c>
      <c r="T18" s="3" t="n">
        <v>18</v>
      </c>
      <c r="U18" s="4" t="n">
        <v>10118.06</v>
      </c>
      <c r="V18" s="3" t="str">
        <f aca="false">IF(N18&lt;=0,"Yes","No")</f>
        <v>No</v>
      </c>
      <c r="W18" s="3" t="n">
        <v>301</v>
      </c>
      <c r="X18" s="3" t="n">
        <v>249</v>
      </c>
      <c r="Y18" s="5" t="n">
        <f aca="false">IFERROR(1-ABS(W18-X18)/X18,0)</f>
        <v>0.791164658634538</v>
      </c>
      <c r="Z18" s="6" t="n">
        <f aca="false">IFERROR(M18/((K18+N18)/2),0)</f>
        <v>0.78084714548803</v>
      </c>
    </row>
    <row r="19" customFormat="false" ht="15" hidden="false" customHeight="false" outlineLevel="0" collapsed="false">
      <c r="A19" s="2" t="n">
        <v>45402</v>
      </c>
      <c r="B19" s="3" t="s">
        <v>70</v>
      </c>
      <c r="C19" s="3" t="s">
        <v>71</v>
      </c>
      <c r="D19" s="3" t="n">
        <v>2024</v>
      </c>
      <c r="E19" s="3" t="s">
        <v>53</v>
      </c>
      <c r="F19" s="3" t="s">
        <v>54</v>
      </c>
      <c r="G19" s="3" t="s">
        <v>36</v>
      </c>
      <c r="H19" s="3" t="s">
        <v>61</v>
      </c>
      <c r="I19" s="3" t="s">
        <v>38</v>
      </c>
      <c r="J19" s="3" t="s">
        <v>39</v>
      </c>
      <c r="K19" s="3" t="n">
        <v>773</v>
      </c>
      <c r="L19" s="3" t="n">
        <v>219</v>
      </c>
      <c r="M19" s="3" t="n">
        <v>1047</v>
      </c>
      <c r="N19" s="3" t="n">
        <f aca="false">K19+L19-M19</f>
        <v>-55</v>
      </c>
      <c r="O19" s="3" t="n">
        <v>359</v>
      </c>
      <c r="P19" s="3" t="str">
        <f aca="false">IF(N19&lt;=O19,"Reorder Needed","Sufficient")</f>
        <v>Reorder Needed</v>
      </c>
      <c r="Q19" s="3" t="n">
        <v>4</v>
      </c>
      <c r="R19" s="3" t="n">
        <v>59</v>
      </c>
      <c r="S19" s="3" t="str">
        <f aca="false">IF(T19&gt;Q19,"Delayed","On Time")</f>
        <v>Delayed</v>
      </c>
      <c r="T19" s="3" t="n">
        <v>10</v>
      </c>
      <c r="U19" s="4" t="n">
        <v>6798.88</v>
      </c>
      <c r="V19" s="3" t="str">
        <f aca="false">IF(N19&lt;=0,"Yes","No")</f>
        <v>Yes</v>
      </c>
      <c r="W19" s="3" t="n">
        <v>805</v>
      </c>
      <c r="X19" s="3" t="n">
        <v>784</v>
      </c>
      <c r="Y19" s="5" t="n">
        <f aca="false">IFERROR(1-ABS(W19-X19)/X19,0)</f>
        <v>0.973214285714286</v>
      </c>
      <c r="Z19" s="6" t="n">
        <f aca="false">IFERROR(M19/((K19+N19)/2),0)</f>
        <v>2.91643454038997</v>
      </c>
    </row>
    <row r="20" customFormat="false" ht="15" hidden="false" customHeight="false" outlineLevel="0" collapsed="false">
      <c r="A20" s="2" t="n">
        <v>45408</v>
      </c>
      <c r="B20" s="3" t="s">
        <v>70</v>
      </c>
      <c r="C20" s="3" t="s">
        <v>71</v>
      </c>
      <c r="D20" s="3" t="n">
        <v>2024</v>
      </c>
      <c r="E20" s="3" t="s">
        <v>75</v>
      </c>
      <c r="F20" s="3" t="s">
        <v>76</v>
      </c>
      <c r="G20" s="3" t="s">
        <v>36</v>
      </c>
      <c r="H20" s="3" t="s">
        <v>74</v>
      </c>
      <c r="I20" s="3" t="s">
        <v>32</v>
      </c>
      <c r="J20" s="3" t="s">
        <v>33</v>
      </c>
      <c r="K20" s="3" t="n">
        <v>1205</v>
      </c>
      <c r="L20" s="3" t="n">
        <v>621</v>
      </c>
      <c r="M20" s="3" t="n">
        <v>1172</v>
      </c>
      <c r="N20" s="3" t="n">
        <f aca="false">K20+L20-M20</f>
        <v>654</v>
      </c>
      <c r="O20" s="3" t="n">
        <v>103</v>
      </c>
      <c r="P20" s="3" t="str">
        <f aca="false">IF(N20&lt;=O20,"Reorder Needed","Sufficient")</f>
        <v>Sufficient</v>
      </c>
      <c r="Q20" s="3" t="n">
        <v>17</v>
      </c>
      <c r="R20" s="3" t="n">
        <v>360</v>
      </c>
      <c r="S20" s="3" t="str">
        <f aca="false">IF(T20&gt;Q20,"Delayed","On Time")</f>
        <v>Delayed</v>
      </c>
      <c r="T20" s="3" t="n">
        <v>18</v>
      </c>
      <c r="U20" s="4" t="n">
        <v>3596.23</v>
      </c>
      <c r="V20" s="3" t="str">
        <f aca="false">IF(N20&lt;=0,"Yes","No")</f>
        <v>No</v>
      </c>
      <c r="W20" s="3" t="n">
        <v>1378</v>
      </c>
      <c r="X20" s="3" t="n">
        <v>1291</v>
      </c>
      <c r="Y20" s="5" t="n">
        <f aca="false">IFERROR(1-ABS(W20-X20)/X20,0)</f>
        <v>0.932610379550736</v>
      </c>
      <c r="Z20" s="6" t="n">
        <f aca="false">IFERROR(M20/((K20+N20)/2),0)</f>
        <v>1.26089295320065</v>
      </c>
    </row>
    <row r="21" customFormat="false" ht="15" hidden="false" customHeight="false" outlineLevel="0" collapsed="false">
      <c r="A21" s="2" t="n">
        <v>45409</v>
      </c>
      <c r="B21" s="3" t="s">
        <v>70</v>
      </c>
      <c r="C21" s="3" t="s">
        <v>71</v>
      </c>
      <c r="D21" s="3" t="n">
        <v>2024</v>
      </c>
      <c r="E21" s="3" t="s">
        <v>58</v>
      </c>
      <c r="F21" s="3" t="s">
        <v>59</v>
      </c>
      <c r="G21" s="3" t="s">
        <v>60</v>
      </c>
      <c r="H21" s="3" t="s">
        <v>52</v>
      </c>
      <c r="I21" s="3" t="s">
        <v>41</v>
      </c>
      <c r="J21" s="3" t="s">
        <v>33</v>
      </c>
      <c r="K21" s="3" t="n">
        <v>1436</v>
      </c>
      <c r="L21" s="3" t="n">
        <v>313</v>
      </c>
      <c r="M21" s="3" t="n">
        <v>167</v>
      </c>
      <c r="N21" s="3" t="n">
        <f aca="false">K21+L21-M21</f>
        <v>1582</v>
      </c>
      <c r="O21" s="3" t="n">
        <v>398</v>
      </c>
      <c r="P21" s="3" t="str">
        <f aca="false">IF(N21&lt;=O21,"Reorder Needed","Sufficient")</f>
        <v>Sufficient</v>
      </c>
      <c r="Q21" s="3" t="n">
        <v>17</v>
      </c>
      <c r="R21" s="3" t="n">
        <v>256</v>
      </c>
      <c r="S21" s="3" t="str">
        <f aca="false">IF(T21&gt;Q21,"Delayed","On Time")</f>
        <v>Delayed</v>
      </c>
      <c r="T21" s="3" t="n">
        <v>19</v>
      </c>
      <c r="U21" s="4" t="n">
        <v>1142.12</v>
      </c>
      <c r="V21" s="3" t="str">
        <f aca="false">IF(N21&lt;=0,"Yes","No")</f>
        <v>No</v>
      </c>
      <c r="W21" s="3" t="n">
        <v>584</v>
      </c>
      <c r="X21" s="3" t="n">
        <v>590</v>
      </c>
      <c r="Y21" s="5" t="n">
        <f aca="false">IFERROR(1-ABS(W21-X21)/X21,0)</f>
        <v>0.989830508474576</v>
      </c>
      <c r="Z21" s="6" t="n">
        <f aca="false">IFERROR(M21/((K21+N21)/2),0)</f>
        <v>0.110669317428761</v>
      </c>
    </row>
    <row r="22" customFormat="false" ht="15" hidden="false" customHeight="false" outlineLevel="0" collapsed="false">
      <c r="A22" s="2" t="n">
        <v>45410</v>
      </c>
      <c r="B22" s="3" t="s">
        <v>70</v>
      </c>
      <c r="C22" s="3" t="s">
        <v>71</v>
      </c>
      <c r="D22" s="3" t="n">
        <v>2024</v>
      </c>
      <c r="E22" s="3" t="s">
        <v>77</v>
      </c>
      <c r="F22" s="3" t="s">
        <v>78</v>
      </c>
      <c r="G22" s="3" t="s">
        <v>44</v>
      </c>
      <c r="H22" s="3" t="s">
        <v>37</v>
      </c>
      <c r="I22" s="3" t="s">
        <v>45</v>
      </c>
      <c r="J22" s="3" t="s">
        <v>46</v>
      </c>
      <c r="K22" s="3" t="n">
        <v>456</v>
      </c>
      <c r="L22" s="3" t="n">
        <v>537</v>
      </c>
      <c r="M22" s="3" t="n">
        <v>430</v>
      </c>
      <c r="N22" s="3" t="n">
        <f aca="false">K22+L22-M22</f>
        <v>563</v>
      </c>
      <c r="O22" s="3" t="n">
        <v>256</v>
      </c>
      <c r="P22" s="3" t="str">
        <f aca="false">IF(N22&lt;=O22,"Reorder Needed","Sufficient")</f>
        <v>Sufficient</v>
      </c>
      <c r="Q22" s="3" t="n">
        <v>7</v>
      </c>
      <c r="R22" s="3" t="n">
        <v>347</v>
      </c>
      <c r="S22" s="3" t="str">
        <f aca="false">IF(T22&gt;Q22,"Delayed","On Time")</f>
        <v>On Time</v>
      </c>
      <c r="T22" s="3" t="n">
        <v>4</v>
      </c>
      <c r="U22" s="4" t="n">
        <v>3842.59</v>
      </c>
      <c r="V22" s="3" t="str">
        <f aca="false">IF(N22&lt;=0,"Yes","No")</f>
        <v>No</v>
      </c>
      <c r="W22" s="3" t="n">
        <v>546</v>
      </c>
      <c r="X22" s="3" t="n">
        <v>598</v>
      </c>
      <c r="Y22" s="5" t="n">
        <f aca="false">IFERROR(1-ABS(W22-X22)/X22,0)</f>
        <v>0.91304347826087</v>
      </c>
      <c r="Z22" s="6" t="n">
        <f aca="false">IFERROR(M22/((K22+N22)/2),0)</f>
        <v>0.84396467124632</v>
      </c>
    </row>
    <row r="23" customFormat="false" ht="15" hidden="false" customHeight="false" outlineLevel="0" collapsed="false">
      <c r="A23" s="2" t="n">
        <v>45421</v>
      </c>
      <c r="B23" s="3" t="s">
        <v>79</v>
      </c>
      <c r="C23" s="3" t="s">
        <v>71</v>
      </c>
      <c r="D23" s="3" t="n">
        <v>2024</v>
      </c>
      <c r="E23" s="3" t="s">
        <v>47</v>
      </c>
      <c r="F23" s="3" t="s">
        <v>48</v>
      </c>
      <c r="G23" s="3" t="s">
        <v>44</v>
      </c>
      <c r="H23" s="3" t="s">
        <v>37</v>
      </c>
      <c r="I23" s="3" t="s">
        <v>41</v>
      </c>
      <c r="J23" s="3" t="s">
        <v>33</v>
      </c>
      <c r="K23" s="3" t="n">
        <v>432</v>
      </c>
      <c r="L23" s="3" t="n">
        <v>352</v>
      </c>
      <c r="M23" s="3" t="n">
        <v>614</v>
      </c>
      <c r="N23" s="3" t="n">
        <f aca="false">K23+L23-M23</f>
        <v>170</v>
      </c>
      <c r="O23" s="3" t="n">
        <v>208</v>
      </c>
      <c r="P23" s="3" t="str">
        <f aca="false">IF(N23&lt;=O23,"Reorder Needed","Sufficient")</f>
        <v>Reorder Needed</v>
      </c>
      <c r="Q23" s="3" t="n">
        <v>19</v>
      </c>
      <c r="R23" s="3" t="n">
        <v>986</v>
      </c>
      <c r="S23" s="3" t="str">
        <f aca="false">IF(T23&gt;Q23,"Delayed","On Time")</f>
        <v>Delayed</v>
      </c>
      <c r="T23" s="3" t="n">
        <v>25</v>
      </c>
      <c r="U23" s="4" t="n">
        <v>11234.73</v>
      </c>
      <c r="V23" s="3" t="str">
        <f aca="false">IF(N23&lt;=0,"Yes","No")</f>
        <v>No</v>
      </c>
      <c r="W23" s="3" t="n">
        <v>1347</v>
      </c>
      <c r="X23" s="3" t="n">
        <v>1478</v>
      </c>
      <c r="Y23" s="5" t="n">
        <f aca="false">IFERROR(1-ABS(W23-X23)/X23,0)</f>
        <v>0.911366711772666</v>
      </c>
      <c r="Z23" s="6" t="n">
        <f aca="false">IFERROR(M23/((K23+N23)/2),0)</f>
        <v>2.03986710963455</v>
      </c>
    </row>
    <row r="24" customFormat="false" ht="15" hidden="false" customHeight="false" outlineLevel="0" collapsed="false">
      <c r="A24" s="2" t="n">
        <v>45423</v>
      </c>
      <c r="B24" s="3" t="s">
        <v>79</v>
      </c>
      <c r="C24" s="3" t="s">
        <v>71</v>
      </c>
      <c r="D24" s="3" t="n">
        <v>2024</v>
      </c>
      <c r="E24" s="3" t="s">
        <v>49</v>
      </c>
      <c r="F24" s="3" t="s">
        <v>50</v>
      </c>
      <c r="G24" s="3" t="s">
        <v>30</v>
      </c>
      <c r="H24" s="3" t="s">
        <v>37</v>
      </c>
      <c r="I24" s="3" t="s">
        <v>45</v>
      </c>
      <c r="J24" s="3" t="s">
        <v>46</v>
      </c>
      <c r="K24" s="3" t="n">
        <v>1171</v>
      </c>
      <c r="L24" s="3" t="n">
        <v>324</v>
      </c>
      <c r="M24" s="3" t="n">
        <v>482</v>
      </c>
      <c r="N24" s="3" t="n">
        <f aca="false">K24+L24-M24</f>
        <v>1013</v>
      </c>
      <c r="O24" s="3" t="n">
        <v>288</v>
      </c>
      <c r="P24" s="3" t="str">
        <f aca="false">IF(N24&lt;=O24,"Reorder Needed","Sufficient")</f>
        <v>Sufficient</v>
      </c>
      <c r="Q24" s="3" t="n">
        <v>14</v>
      </c>
      <c r="R24" s="3" t="n">
        <v>208</v>
      </c>
      <c r="S24" s="3" t="str">
        <f aca="false">IF(T24&gt;Q24,"Delayed","On Time")</f>
        <v>On Time</v>
      </c>
      <c r="T24" s="3" t="n">
        <v>11</v>
      </c>
      <c r="U24" s="4" t="n">
        <v>9236.42</v>
      </c>
      <c r="V24" s="3" t="str">
        <f aca="false">IF(N24&lt;=0,"Yes","No")</f>
        <v>No</v>
      </c>
      <c r="W24" s="3" t="n">
        <v>1118</v>
      </c>
      <c r="X24" s="3" t="n">
        <v>856</v>
      </c>
      <c r="Y24" s="5" t="n">
        <f aca="false">IFERROR(1-ABS(W24-X24)/X24,0)</f>
        <v>0.69392523364486</v>
      </c>
      <c r="Z24" s="6" t="n">
        <f aca="false">IFERROR(M24/((K24+N24)/2),0)</f>
        <v>0.441391941391941</v>
      </c>
    </row>
    <row r="25" customFormat="false" ht="15" hidden="false" customHeight="false" outlineLevel="0" collapsed="false">
      <c r="A25" s="2" t="n">
        <v>45424</v>
      </c>
      <c r="B25" s="3" t="s">
        <v>79</v>
      </c>
      <c r="C25" s="3" t="s">
        <v>71</v>
      </c>
      <c r="D25" s="3" t="n">
        <v>2024</v>
      </c>
      <c r="E25" s="3" t="s">
        <v>62</v>
      </c>
      <c r="F25" s="3" t="s">
        <v>63</v>
      </c>
      <c r="G25" s="3" t="s">
        <v>64</v>
      </c>
      <c r="H25" s="3" t="s">
        <v>40</v>
      </c>
      <c r="I25" s="3" t="s">
        <v>32</v>
      </c>
      <c r="J25" s="3" t="s">
        <v>33</v>
      </c>
      <c r="K25" s="3" t="n">
        <v>714</v>
      </c>
      <c r="L25" s="3" t="n">
        <v>319</v>
      </c>
      <c r="M25" s="3" t="n">
        <v>391</v>
      </c>
      <c r="N25" s="3" t="n">
        <f aca="false">K25+L25-M25</f>
        <v>642</v>
      </c>
      <c r="O25" s="3" t="n">
        <v>265</v>
      </c>
      <c r="P25" s="3" t="str">
        <f aca="false">IF(N25&lt;=O25,"Reorder Needed","Sufficient")</f>
        <v>Sufficient</v>
      </c>
      <c r="Q25" s="3" t="n">
        <v>14</v>
      </c>
      <c r="R25" s="3" t="n">
        <v>451</v>
      </c>
      <c r="S25" s="3" t="str">
        <f aca="false">IF(T25&gt;Q25,"Delayed","On Time")</f>
        <v>Delayed</v>
      </c>
      <c r="T25" s="3" t="n">
        <v>20</v>
      </c>
      <c r="U25" s="4" t="n">
        <v>13067.14</v>
      </c>
      <c r="V25" s="3" t="str">
        <f aca="false">IF(N25&lt;=0,"Yes","No")</f>
        <v>No</v>
      </c>
      <c r="W25" s="3" t="n">
        <v>305</v>
      </c>
      <c r="X25" s="3" t="n">
        <v>353</v>
      </c>
      <c r="Y25" s="5" t="n">
        <f aca="false">IFERROR(1-ABS(W25-X25)/X25,0)</f>
        <v>0.864022662889519</v>
      </c>
      <c r="Z25" s="6" t="n">
        <f aca="false">IFERROR(M25/((K25+N25)/2),0)</f>
        <v>0.57669616519174</v>
      </c>
    </row>
    <row r="26" customFormat="false" ht="15" hidden="false" customHeight="false" outlineLevel="0" collapsed="false">
      <c r="A26" s="2" t="n">
        <v>45443</v>
      </c>
      <c r="B26" s="3" t="s">
        <v>79</v>
      </c>
      <c r="C26" s="3" t="s">
        <v>71</v>
      </c>
      <c r="D26" s="3" t="n">
        <v>2024</v>
      </c>
      <c r="E26" s="3" t="s">
        <v>77</v>
      </c>
      <c r="F26" s="3" t="s">
        <v>78</v>
      </c>
      <c r="G26" s="3" t="s">
        <v>44</v>
      </c>
      <c r="H26" s="3" t="s">
        <v>40</v>
      </c>
      <c r="I26" s="3" t="s">
        <v>55</v>
      </c>
      <c r="J26" s="3" t="s">
        <v>56</v>
      </c>
      <c r="K26" s="3" t="n">
        <v>1032</v>
      </c>
      <c r="L26" s="3" t="n">
        <v>369</v>
      </c>
      <c r="M26" s="3" t="n">
        <v>1094</v>
      </c>
      <c r="N26" s="3" t="n">
        <f aca="false">K26+L26-M26</f>
        <v>307</v>
      </c>
      <c r="O26" s="3" t="n">
        <v>309</v>
      </c>
      <c r="P26" s="3" t="str">
        <f aca="false">IF(N26&lt;=O26,"Reorder Needed","Sufficient")</f>
        <v>Reorder Needed</v>
      </c>
      <c r="Q26" s="3" t="n">
        <v>12</v>
      </c>
      <c r="R26" s="3" t="n">
        <v>328</v>
      </c>
      <c r="S26" s="3" t="str">
        <f aca="false">IF(T26&gt;Q26,"Delayed","On Time")</f>
        <v>Delayed</v>
      </c>
      <c r="T26" s="3" t="n">
        <v>17</v>
      </c>
      <c r="U26" s="4" t="n">
        <v>11643.04</v>
      </c>
      <c r="V26" s="3" t="str">
        <f aca="false">IF(N26&lt;=0,"Yes","No")</f>
        <v>No</v>
      </c>
      <c r="W26" s="3" t="n">
        <v>802</v>
      </c>
      <c r="X26" s="3" t="n">
        <v>651</v>
      </c>
      <c r="Y26" s="5" t="n">
        <f aca="false">IFERROR(1-ABS(W26-X26)/X26,0)</f>
        <v>0.768049155145929</v>
      </c>
      <c r="Z26" s="6" t="n">
        <f aca="false">IFERROR(M26/((K26+N26)/2),0)</f>
        <v>1.63405526512323</v>
      </c>
    </row>
    <row r="27" customFormat="false" ht="15" hidden="false" customHeight="false" outlineLevel="0" collapsed="false">
      <c r="A27" s="2" t="n">
        <v>45447</v>
      </c>
      <c r="B27" s="3" t="s">
        <v>80</v>
      </c>
      <c r="C27" s="3" t="s">
        <v>71</v>
      </c>
      <c r="D27" s="3" t="n">
        <v>2024</v>
      </c>
      <c r="E27" s="3" t="s">
        <v>62</v>
      </c>
      <c r="F27" s="3" t="s">
        <v>63</v>
      </c>
      <c r="G27" s="3" t="s">
        <v>64</v>
      </c>
      <c r="H27" s="3" t="s">
        <v>65</v>
      </c>
      <c r="I27" s="3" t="s">
        <v>55</v>
      </c>
      <c r="J27" s="3" t="s">
        <v>56</v>
      </c>
      <c r="K27" s="3" t="n">
        <v>1286</v>
      </c>
      <c r="L27" s="3" t="n">
        <v>657</v>
      </c>
      <c r="M27" s="3" t="n">
        <v>2224</v>
      </c>
      <c r="N27" s="3" t="n">
        <f aca="false">K27+L27-M27</f>
        <v>-281</v>
      </c>
      <c r="O27" s="3" t="n">
        <v>323</v>
      </c>
      <c r="P27" s="3" t="str">
        <f aca="false">IF(N27&lt;=O27,"Reorder Needed","Sufficient")</f>
        <v>Reorder Needed</v>
      </c>
      <c r="Q27" s="3" t="n">
        <v>16</v>
      </c>
      <c r="R27" s="3" t="n">
        <v>192</v>
      </c>
      <c r="S27" s="3" t="str">
        <f aca="false">IF(T27&gt;Q27,"Delayed","On Time")</f>
        <v>On Time</v>
      </c>
      <c r="T27" s="3" t="n">
        <v>14</v>
      </c>
      <c r="U27" s="4" t="n">
        <v>12767.84</v>
      </c>
      <c r="V27" s="3" t="str">
        <f aca="false">IF(N27&lt;=0,"Yes","No")</f>
        <v>Yes</v>
      </c>
      <c r="W27" s="3" t="n">
        <v>965</v>
      </c>
      <c r="X27" s="3" t="n">
        <v>1221</v>
      </c>
      <c r="Y27" s="5" t="n">
        <f aca="false">IFERROR(1-ABS(W27-X27)/X27,0)</f>
        <v>0.79033579033579</v>
      </c>
      <c r="Z27" s="6" t="n">
        <f aca="false">IFERROR(M27/((K27+N27)/2),0)</f>
        <v>4.42587064676617</v>
      </c>
    </row>
    <row r="28" customFormat="false" ht="15" hidden="false" customHeight="false" outlineLevel="0" collapsed="false">
      <c r="A28" s="2" t="n">
        <v>45454</v>
      </c>
      <c r="B28" s="3" t="s">
        <v>80</v>
      </c>
      <c r="C28" s="3" t="s">
        <v>71</v>
      </c>
      <c r="D28" s="3" t="n">
        <v>2024</v>
      </c>
      <c r="E28" s="3" t="s">
        <v>68</v>
      </c>
      <c r="F28" s="3" t="s">
        <v>69</v>
      </c>
      <c r="G28" s="3" t="s">
        <v>60</v>
      </c>
      <c r="H28" s="3" t="s">
        <v>52</v>
      </c>
      <c r="I28" s="3" t="s">
        <v>38</v>
      </c>
      <c r="J28" s="3" t="s">
        <v>39</v>
      </c>
      <c r="K28" s="3" t="n">
        <v>858</v>
      </c>
      <c r="L28" s="3" t="n">
        <v>107</v>
      </c>
      <c r="M28" s="3" t="n">
        <v>291</v>
      </c>
      <c r="N28" s="3" t="n">
        <f aca="false">K28+L28-M28</f>
        <v>674</v>
      </c>
      <c r="O28" s="3" t="n">
        <v>260</v>
      </c>
      <c r="P28" s="3" t="str">
        <f aca="false">IF(N28&lt;=O28,"Reorder Needed","Sufficient")</f>
        <v>Sufficient</v>
      </c>
      <c r="Q28" s="3" t="n">
        <v>3</v>
      </c>
      <c r="R28" s="3" t="n">
        <v>844</v>
      </c>
      <c r="S28" s="3" t="str">
        <f aca="false">IF(T28&gt;Q28,"Delayed","On Time")</f>
        <v>Delayed</v>
      </c>
      <c r="T28" s="3" t="n">
        <v>5</v>
      </c>
      <c r="U28" s="4" t="n">
        <v>8315.98</v>
      </c>
      <c r="V28" s="3" t="str">
        <f aca="false">IF(N28&lt;=0,"Yes","No")</f>
        <v>No</v>
      </c>
      <c r="W28" s="3" t="n">
        <v>1153</v>
      </c>
      <c r="X28" s="3" t="n">
        <v>1318</v>
      </c>
      <c r="Y28" s="5" t="n">
        <f aca="false">IFERROR(1-ABS(W28-X28)/X28,0)</f>
        <v>0.874810318664643</v>
      </c>
      <c r="Z28" s="6" t="n">
        <f aca="false">IFERROR(M28/((K28+N28)/2),0)</f>
        <v>0.379895561357702</v>
      </c>
    </row>
    <row r="29" customFormat="false" ht="15" hidden="false" customHeight="false" outlineLevel="0" collapsed="false">
      <c r="A29" s="2" t="n">
        <v>45467</v>
      </c>
      <c r="B29" s="3" t="s">
        <v>80</v>
      </c>
      <c r="C29" s="3" t="s">
        <v>71</v>
      </c>
      <c r="D29" s="3" t="n">
        <v>2024</v>
      </c>
      <c r="E29" s="3" t="s">
        <v>53</v>
      </c>
      <c r="F29" s="3" t="s">
        <v>54</v>
      </c>
      <c r="G29" s="3" t="s">
        <v>36</v>
      </c>
      <c r="H29" s="3" t="s">
        <v>52</v>
      </c>
      <c r="I29" s="3" t="s">
        <v>32</v>
      </c>
      <c r="J29" s="3" t="s">
        <v>33</v>
      </c>
      <c r="K29" s="3" t="n">
        <v>153</v>
      </c>
      <c r="L29" s="3" t="n">
        <v>731</v>
      </c>
      <c r="M29" s="3" t="n">
        <v>520</v>
      </c>
      <c r="N29" s="3" t="n">
        <f aca="false">K29+L29-M29</f>
        <v>364</v>
      </c>
      <c r="O29" s="3" t="n">
        <v>313</v>
      </c>
      <c r="P29" s="3" t="str">
        <f aca="false">IF(N29&lt;=O29,"Reorder Needed","Sufficient")</f>
        <v>Sufficient</v>
      </c>
      <c r="Q29" s="3" t="n">
        <v>15</v>
      </c>
      <c r="R29" s="3" t="n">
        <v>552</v>
      </c>
      <c r="S29" s="3" t="str">
        <f aca="false">IF(T29&gt;Q29,"Delayed","On Time")</f>
        <v>Delayed</v>
      </c>
      <c r="T29" s="3" t="n">
        <v>20</v>
      </c>
      <c r="U29" s="4" t="n">
        <v>12896.35</v>
      </c>
      <c r="V29" s="3" t="str">
        <f aca="false">IF(N29&lt;=0,"Yes","No")</f>
        <v>No</v>
      </c>
      <c r="W29" s="3" t="n">
        <v>828</v>
      </c>
      <c r="X29" s="3" t="n">
        <v>883</v>
      </c>
      <c r="Y29" s="5" t="n">
        <f aca="false">IFERROR(1-ABS(W29-X29)/X29,0)</f>
        <v>0.937712344280861</v>
      </c>
      <c r="Z29" s="6" t="n">
        <f aca="false">IFERROR(M29/((K29+N29)/2),0)</f>
        <v>2.01160541586074</v>
      </c>
    </row>
    <row r="30" customFormat="false" ht="15" hidden="false" customHeight="false" outlineLevel="0" collapsed="false">
      <c r="A30" s="2" t="n">
        <v>45469</v>
      </c>
      <c r="B30" s="3" t="s">
        <v>80</v>
      </c>
      <c r="C30" s="3" t="s">
        <v>71</v>
      </c>
      <c r="D30" s="3" t="n">
        <v>2024</v>
      </c>
      <c r="E30" s="3" t="s">
        <v>47</v>
      </c>
      <c r="F30" s="3" t="s">
        <v>48</v>
      </c>
      <c r="G30" s="3" t="s">
        <v>44</v>
      </c>
      <c r="H30" s="3" t="s">
        <v>40</v>
      </c>
      <c r="I30" s="3" t="s">
        <v>38</v>
      </c>
      <c r="J30" s="3" t="s">
        <v>39</v>
      </c>
      <c r="K30" s="3" t="n">
        <v>707</v>
      </c>
      <c r="L30" s="3" t="n">
        <v>661</v>
      </c>
      <c r="M30" s="3" t="n">
        <v>1122</v>
      </c>
      <c r="N30" s="3" t="n">
        <f aca="false">K30+L30-M30</f>
        <v>246</v>
      </c>
      <c r="O30" s="3" t="n">
        <v>186</v>
      </c>
      <c r="P30" s="3" t="str">
        <f aca="false">IF(N30&lt;=O30,"Reorder Needed","Sufficient")</f>
        <v>Sufficient</v>
      </c>
      <c r="Q30" s="3" t="n">
        <v>11</v>
      </c>
      <c r="R30" s="3" t="n">
        <v>358</v>
      </c>
      <c r="S30" s="3" t="str">
        <f aca="false">IF(T30&gt;Q30,"Delayed","On Time")</f>
        <v>On Time</v>
      </c>
      <c r="T30" s="3" t="n">
        <v>9</v>
      </c>
      <c r="U30" s="4" t="n">
        <v>7122.02</v>
      </c>
      <c r="V30" s="3" t="str">
        <f aca="false">IF(N30&lt;=0,"Yes","No")</f>
        <v>No</v>
      </c>
      <c r="W30" s="3" t="n">
        <v>1369</v>
      </c>
      <c r="X30" s="3" t="n">
        <v>1586</v>
      </c>
      <c r="Y30" s="5" t="n">
        <f aca="false">IFERROR(1-ABS(W30-X30)/X30,0)</f>
        <v>0.863177805800757</v>
      </c>
      <c r="Z30" s="6" t="n">
        <f aca="false">IFERROR(M30/((K30+N30)/2),0)</f>
        <v>2.35466946484785</v>
      </c>
    </row>
    <row r="31" customFormat="false" ht="15" hidden="false" customHeight="false" outlineLevel="0" collapsed="false">
      <c r="A31" s="2" t="n">
        <v>45482</v>
      </c>
      <c r="B31" s="3" t="s">
        <v>81</v>
      </c>
      <c r="C31" s="3" t="s">
        <v>82</v>
      </c>
      <c r="D31" s="3" t="n">
        <v>2024</v>
      </c>
      <c r="E31" s="3" t="s">
        <v>83</v>
      </c>
      <c r="F31" s="3" t="s">
        <v>84</v>
      </c>
      <c r="G31" s="3" t="s">
        <v>60</v>
      </c>
      <c r="H31" s="3" t="s">
        <v>40</v>
      </c>
      <c r="I31" s="3" t="s">
        <v>45</v>
      </c>
      <c r="J31" s="3" t="s">
        <v>46</v>
      </c>
      <c r="K31" s="3" t="n">
        <v>991</v>
      </c>
      <c r="L31" s="3" t="n">
        <v>676</v>
      </c>
      <c r="M31" s="3" t="n">
        <v>1841</v>
      </c>
      <c r="N31" s="3" t="n">
        <f aca="false">K31+L31-M31</f>
        <v>-174</v>
      </c>
      <c r="O31" s="3" t="n">
        <v>65</v>
      </c>
      <c r="P31" s="3" t="str">
        <f aca="false">IF(N31&lt;=O31,"Reorder Needed","Sufficient")</f>
        <v>Reorder Needed</v>
      </c>
      <c r="Q31" s="3" t="n">
        <v>5</v>
      </c>
      <c r="R31" s="3" t="n">
        <v>661</v>
      </c>
      <c r="S31" s="3" t="str">
        <f aca="false">IF(T31&gt;Q31,"Delayed","On Time")</f>
        <v>Delayed</v>
      </c>
      <c r="T31" s="3" t="n">
        <v>8</v>
      </c>
      <c r="U31" s="4" t="n">
        <v>3102.02</v>
      </c>
      <c r="V31" s="3" t="str">
        <f aca="false">IF(N31&lt;=0,"Yes","No")</f>
        <v>Yes</v>
      </c>
      <c r="W31" s="3" t="n">
        <v>211</v>
      </c>
      <c r="X31" s="3" t="n">
        <v>172</v>
      </c>
      <c r="Y31" s="5" t="n">
        <f aca="false">IFERROR(1-ABS(W31-X31)/X31,0)</f>
        <v>0.773255813953488</v>
      </c>
      <c r="Z31" s="6" t="n">
        <f aca="false">IFERROR(M31/((K31+N31)/2),0)</f>
        <v>4.50673194614443</v>
      </c>
    </row>
    <row r="32" customFormat="false" ht="15" hidden="false" customHeight="false" outlineLevel="0" collapsed="false">
      <c r="A32" s="2" t="n">
        <v>45487</v>
      </c>
      <c r="B32" s="3" t="s">
        <v>81</v>
      </c>
      <c r="C32" s="3" t="s">
        <v>82</v>
      </c>
      <c r="D32" s="3" t="n">
        <v>2024</v>
      </c>
      <c r="E32" s="3" t="s">
        <v>53</v>
      </c>
      <c r="F32" s="3" t="s">
        <v>54</v>
      </c>
      <c r="G32" s="3" t="s">
        <v>36</v>
      </c>
      <c r="H32" s="3" t="s">
        <v>61</v>
      </c>
      <c r="I32" s="3" t="s">
        <v>55</v>
      </c>
      <c r="J32" s="3" t="s">
        <v>56</v>
      </c>
      <c r="K32" s="3" t="n">
        <v>441</v>
      </c>
      <c r="L32" s="3" t="n">
        <v>240</v>
      </c>
      <c r="M32" s="3" t="n">
        <v>706</v>
      </c>
      <c r="N32" s="3" t="n">
        <f aca="false">K32+L32-M32</f>
        <v>-25</v>
      </c>
      <c r="O32" s="3" t="n">
        <v>75</v>
      </c>
      <c r="P32" s="3" t="str">
        <f aca="false">IF(N32&lt;=O32,"Reorder Needed","Sufficient")</f>
        <v>Reorder Needed</v>
      </c>
      <c r="Q32" s="3" t="n">
        <v>19</v>
      </c>
      <c r="R32" s="3" t="n">
        <v>736</v>
      </c>
      <c r="S32" s="3" t="str">
        <f aca="false">IF(T32&gt;Q32,"Delayed","On Time")</f>
        <v>Delayed</v>
      </c>
      <c r="T32" s="3" t="n">
        <v>20</v>
      </c>
      <c r="U32" s="4" t="n">
        <v>12588.29</v>
      </c>
      <c r="V32" s="3" t="str">
        <f aca="false">IF(N32&lt;=0,"Yes","No")</f>
        <v>Yes</v>
      </c>
      <c r="W32" s="3" t="n">
        <v>373</v>
      </c>
      <c r="X32" s="3" t="n">
        <v>363</v>
      </c>
      <c r="Y32" s="5" t="n">
        <f aca="false">IFERROR(1-ABS(W32-X32)/X32,0)</f>
        <v>0.972451790633609</v>
      </c>
      <c r="Z32" s="6" t="n">
        <f aca="false">IFERROR(M32/((K32+N32)/2),0)</f>
        <v>3.39423076923077</v>
      </c>
    </row>
    <row r="33" customFormat="false" ht="15" hidden="false" customHeight="false" outlineLevel="0" collapsed="false">
      <c r="A33" s="2" t="n">
        <v>45487</v>
      </c>
      <c r="B33" s="3" t="s">
        <v>81</v>
      </c>
      <c r="C33" s="3" t="s">
        <v>82</v>
      </c>
      <c r="D33" s="3" t="n">
        <v>2024</v>
      </c>
      <c r="E33" s="3" t="s">
        <v>34</v>
      </c>
      <c r="F33" s="3" t="s">
        <v>35</v>
      </c>
      <c r="G33" s="3" t="s">
        <v>36</v>
      </c>
      <c r="H33" s="3" t="s">
        <v>61</v>
      </c>
      <c r="I33" s="3" t="s">
        <v>55</v>
      </c>
      <c r="J33" s="3" t="s">
        <v>56</v>
      </c>
      <c r="K33" s="3" t="n">
        <v>1279</v>
      </c>
      <c r="L33" s="3" t="n">
        <v>727</v>
      </c>
      <c r="M33" s="3" t="n">
        <v>514</v>
      </c>
      <c r="N33" s="3" t="n">
        <f aca="false">K33+L33-M33</f>
        <v>1492</v>
      </c>
      <c r="O33" s="3" t="n">
        <v>160</v>
      </c>
      <c r="P33" s="3" t="str">
        <f aca="false">IF(N33&lt;=O33,"Reorder Needed","Sufficient")</f>
        <v>Sufficient</v>
      </c>
      <c r="Q33" s="3" t="n">
        <v>11</v>
      </c>
      <c r="R33" s="3" t="n">
        <v>432</v>
      </c>
      <c r="S33" s="3" t="str">
        <f aca="false">IF(T33&gt;Q33,"Delayed","On Time")</f>
        <v>On Time</v>
      </c>
      <c r="T33" s="3" t="n">
        <v>10</v>
      </c>
      <c r="U33" s="4" t="n">
        <v>4130.97</v>
      </c>
      <c r="V33" s="3" t="str">
        <f aca="false">IF(N33&lt;=0,"Yes","No")</f>
        <v>No</v>
      </c>
      <c r="W33" s="3" t="n">
        <v>308</v>
      </c>
      <c r="X33" s="3" t="n">
        <v>333</v>
      </c>
      <c r="Y33" s="5" t="n">
        <f aca="false">IFERROR(1-ABS(W33-X33)/X33,0)</f>
        <v>0.924924924924925</v>
      </c>
      <c r="Z33" s="6" t="n">
        <f aca="false">IFERROR(M33/((K33+N33)/2),0)</f>
        <v>0.37098520389751</v>
      </c>
    </row>
    <row r="34" customFormat="false" ht="15" hidden="false" customHeight="false" outlineLevel="0" collapsed="false">
      <c r="A34" s="2" t="n">
        <v>45491</v>
      </c>
      <c r="B34" s="3" t="s">
        <v>81</v>
      </c>
      <c r="C34" s="3" t="s">
        <v>82</v>
      </c>
      <c r="D34" s="3" t="n">
        <v>2024</v>
      </c>
      <c r="E34" s="3" t="s">
        <v>34</v>
      </c>
      <c r="F34" s="3" t="s">
        <v>35</v>
      </c>
      <c r="G34" s="3" t="s">
        <v>36</v>
      </c>
      <c r="H34" s="3" t="s">
        <v>74</v>
      </c>
      <c r="I34" s="3" t="s">
        <v>45</v>
      </c>
      <c r="J34" s="3" t="s">
        <v>46</v>
      </c>
      <c r="K34" s="3" t="n">
        <v>431</v>
      </c>
      <c r="L34" s="3" t="n">
        <v>1</v>
      </c>
      <c r="M34" s="3" t="n">
        <v>124</v>
      </c>
      <c r="N34" s="3" t="n">
        <f aca="false">K34+L34-M34</f>
        <v>308</v>
      </c>
      <c r="O34" s="3" t="n">
        <v>366</v>
      </c>
      <c r="P34" s="3" t="str">
        <f aca="false">IF(N34&lt;=O34,"Reorder Needed","Sufficient")</f>
        <v>Reorder Needed</v>
      </c>
      <c r="Q34" s="3" t="n">
        <v>14</v>
      </c>
      <c r="R34" s="3" t="n">
        <v>164</v>
      </c>
      <c r="S34" s="3" t="str">
        <f aca="false">IF(T34&gt;Q34,"Delayed","On Time")</f>
        <v>Delayed</v>
      </c>
      <c r="T34" s="3" t="n">
        <v>18</v>
      </c>
      <c r="U34" s="4" t="n">
        <v>7949.78</v>
      </c>
      <c r="V34" s="3" t="str">
        <f aca="false">IF(N34&lt;=0,"Yes","No")</f>
        <v>No</v>
      </c>
      <c r="W34" s="3" t="n">
        <v>215</v>
      </c>
      <c r="X34" s="3" t="n">
        <v>222</v>
      </c>
      <c r="Y34" s="5" t="n">
        <f aca="false">IFERROR(1-ABS(W34-X34)/X34,0)</f>
        <v>0.968468468468469</v>
      </c>
      <c r="Z34" s="6" t="n">
        <f aca="false">IFERROR(M34/((K34+N34)/2),0)</f>
        <v>0.335588633288227</v>
      </c>
    </row>
    <row r="35" customFormat="false" ht="15" hidden="false" customHeight="false" outlineLevel="0" collapsed="false">
      <c r="A35" s="2" t="n">
        <v>45495</v>
      </c>
      <c r="B35" s="3" t="s">
        <v>81</v>
      </c>
      <c r="C35" s="3" t="s">
        <v>82</v>
      </c>
      <c r="D35" s="3" t="n">
        <v>2024</v>
      </c>
      <c r="E35" s="3" t="s">
        <v>34</v>
      </c>
      <c r="F35" s="3" t="s">
        <v>35</v>
      </c>
      <c r="G35" s="3" t="s">
        <v>36</v>
      </c>
      <c r="H35" s="3" t="s">
        <v>85</v>
      </c>
      <c r="I35" s="3" t="s">
        <v>55</v>
      </c>
      <c r="J35" s="3" t="s">
        <v>56</v>
      </c>
      <c r="K35" s="3" t="n">
        <v>575</v>
      </c>
      <c r="L35" s="3" t="n">
        <v>711</v>
      </c>
      <c r="M35" s="3" t="n">
        <v>447</v>
      </c>
      <c r="N35" s="3" t="n">
        <f aca="false">K35+L35-M35</f>
        <v>839</v>
      </c>
      <c r="O35" s="3" t="n">
        <v>219</v>
      </c>
      <c r="P35" s="3" t="str">
        <f aca="false">IF(N35&lt;=O35,"Reorder Needed","Sufficient")</f>
        <v>Sufficient</v>
      </c>
      <c r="Q35" s="3" t="n">
        <v>18</v>
      </c>
      <c r="R35" s="3" t="n">
        <v>755</v>
      </c>
      <c r="S35" s="3" t="str">
        <f aca="false">IF(T35&gt;Q35,"Delayed","On Time")</f>
        <v>Delayed</v>
      </c>
      <c r="T35" s="3" t="n">
        <v>23</v>
      </c>
      <c r="U35" s="4" t="n">
        <v>2418.27</v>
      </c>
      <c r="V35" s="3" t="str">
        <f aca="false">IF(N35&lt;=0,"Yes","No")</f>
        <v>No</v>
      </c>
      <c r="W35" s="3" t="n">
        <v>1337</v>
      </c>
      <c r="X35" s="3" t="n">
        <v>1537</v>
      </c>
      <c r="Y35" s="5" t="n">
        <f aca="false">IFERROR(1-ABS(W35-X35)/X35,0)</f>
        <v>0.869876382563435</v>
      </c>
      <c r="Z35" s="6" t="n">
        <f aca="false">IFERROR(M35/((K35+N35)/2),0)</f>
        <v>0.632248939179632</v>
      </c>
    </row>
    <row r="36" customFormat="false" ht="15" hidden="false" customHeight="false" outlineLevel="0" collapsed="false">
      <c r="A36" s="2" t="n">
        <v>45496</v>
      </c>
      <c r="B36" s="3" t="s">
        <v>81</v>
      </c>
      <c r="C36" s="3" t="s">
        <v>82</v>
      </c>
      <c r="D36" s="3" t="n">
        <v>2024</v>
      </c>
      <c r="E36" s="3" t="s">
        <v>62</v>
      </c>
      <c r="F36" s="3" t="s">
        <v>63</v>
      </c>
      <c r="G36" s="3" t="s">
        <v>64</v>
      </c>
      <c r="H36" s="3" t="s">
        <v>31</v>
      </c>
      <c r="I36" s="3" t="s">
        <v>55</v>
      </c>
      <c r="J36" s="3" t="s">
        <v>56</v>
      </c>
      <c r="K36" s="3" t="n">
        <v>924</v>
      </c>
      <c r="L36" s="3" t="n">
        <v>332</v>
      </c>
      <c r="M36" s="3" t="n">
        <v>213</v>
      </c>
      <c r="N36" s="3" t="n">
        <f aca="false">K36+L36-M36</f>
        <v>1043</v>
      </c>
      <c r="O36" s="3" t="n">
        <v>341</v>
      </c>
      <c r="P36" s="3" t="str">
        <f aca="false">IF(N36&lt;=O36,"Reorder Needed","Sufficient")</f>
        <v>Sufficient</v>
      </c>
      <c r="Q36" s="3" t="n">
        <v>6</v>
      </c>
      <c r="R36" s="3" t="n">
        <v>807</v>
      </c>
      <c r="S36" s="3" t="str">
        <f aca="false">IF(T36&gt;Q36,"Delayed","On Time")</f>
        <v>Delayed</v>
      </c>
      <c r="T36" s="3" t="n">
        <v>11</v>
      </c>
      <c r="U36" s="4" t="n">
        <v>3428.45</v>
      </c>
      <c r="V36" s="3" t="str">
        <f aca="false">IF(N36&lt;=0,"Yes","No")</f>
        <v>No</v>
      </c>
      <c r="W36" s="3" t="n">
        <v>107</v>
      </c>
      <c r="X36" s="3" t="n">
        <v>104</v>
      </c>
      <c r="Y36" s="5" t="n">
        <f aca="false">IFERROR(1-ABS(W36-X36)/X36,0)</f>
        <v>0.971153846153846</v>
      </c>
      <c r="Z36" s="6" t="n">
        <f aca="false">IFERROR(M36/((K36+N36)/2),0)</f>
        <v>0.216573462125064</v>
      </c>
    </row>
    <row r="37" customFormat="false" ht="15" hidden="false" customHeight="false" outlineLevel="0" collapsed="false">
      <c r="A37" s="2" t="n">
        <v>45502</v>
      </c>
      <c r="B37" s="3" t="s">
        <v>81</v>
      </c>
      <c r="C37" s="3" t="s">
        <v>82</v>
      </c>
      <c r="D37" s="3" t="n">
        <v>2024</v>
      </c>
      <c r="E37" s="3" t="s">
        <v>62</v>
      </c>
      <c r="F37" s="3" t="s">
        <v>63</v>
      </c>
      <c r="G37" s="3" t="s">
        <v>64</v>
      </c>
      <c r="H37" s="3" t="s">
        <v>40</v>
      </c>
      <c r="I37" s="3" t="s">
        <v>41</v>
      </c>
      <c r="J37" s="3" t="s">
        <v>33</v>
      </c>
      <c r="K37" s="3" t="n">
        <v>1317</v>
      </c>
      <c r="L37" s="3" t="n">
        <v>224</v>
      </c>
      <c r="M37" s="3" t="n">
        <v>449</v>
      </c>
      <c r="N37" s="3" t="n">
        <f aca="false">K37+L37-M37</f>
        <v>1092</v>
      </c>
      <c r="O37" s="3" t="n">
        <v>155</v>
      </c>
      <c r="P37" s="3" t="str">
        <f aca="false">IF(N37&lt;=O37,"Reorder Needed","Sufficient")</f>
        <v>Sufficient</v>
      </c>
      <c r="Q37" s="3" t="n">
        <v>10</v>
      </c>
      <c r="R37" s="3" t="n">
        <v>567</v>
      </c>
      <c r="S37" s="3" t="str">
        <f aca="false">IF(T37&gt;Q37,"Delayed","On Time")</f>
        <v>Delayed</v>
      </c>
      <c r="T37" s="3" t="n">
        <v>13</v>
      </c>
      <c r="U37" s="4" t="n">
        <v>13464.04</v>
      </c>
      <c r="V37" s="3" t="str">
        <f aca="false">IF(N37&lt;=0,"Yes","No")</f>
        <v>No</v>
      </c>
      <c r="W37" s="3" t="n">
        <v>194</v>
      </c>
      <c r="X37" s="3" t="n">
        <v>196</v>
      </c>
      <c r="Y37" s="5" t="n">
        <f aca="false">IFERROR(1-ABS(W37-X37)/X37,0)</f>
        <v>0.989795918367347</v>
      </c>
      <c r="Z37" s="6" t="n">
        <f aca="false">IFERROR(M37/((K37+N37)/2),0)</f>
        <v>0.372768783727688</v>
      </c>
    </row>
    <row r="38" customFormat="false" ht="15" hidden="false" customHeight="false" outlineLevel="0" collapsed="false">
      <c r="A38" s="2" t="n">
        <v>45503</v>
      </c>
      <c r="B38" s="3" t="s">
        <v>81</v>
      </c>
      <c r="C38" s="3" t="s">
        <v>82</v>
      </c>
      <c r="D38" s="3" t="n">
        <v>2024</v>
      </c>
      <c r="E38" s="3" t="s">
        <v>53</v>
      </c>
      <c r="F38" s="3" t="s">
        <v>54</v>
      </c>
      <c r="G38" s="3" t="s">
        <v>36</v>
      </c>
      <c r="H38" s="3" t="s">
        <v>85</v>
      </c>
      <c r="I38" s="3" t="s">
        <v>45</v>
      </c>
      <c r="J38" s="3" t="s">
        <v>46</v>
      </c>
      <c r="K38" s="3" t="n">
        <v>1095</v>
      </c>
      <c r="L38" s="3" t="n">
        <v>448</v>
      </c>
      <c r="M38" s="3" t="n">
        <v>553</v>
      </c>
      <c r="N38" s="3" t="n">
        <f aca="false">K38+L38-M38</f>
        <v>990</v>
      </c>
      <c r="O38" s="3" t="n">
        <v>288</v>
      </c>
      <c r="P38" s="3" t="str">
        <f aca="false">IF(N38&lt;=O38,"Reorder Needed","Sufficient")</f>
        <v>Sufficient</v>
      </c>
      <c r="Q38" s="3" t="n">
        <v>14</v>
      </c>
      <c r="R38" s="3" t="n">
        <v>429</v>
      </c>
      <c r="S38" s="3" t="str">
        <f aca="false">IF(T38&gt;Q38,"Delayed","On Time")</f>
        <v>Delayed</v>
      </c>
      <c r="T38" s="3" t="n">
        <v>17</v>
      </c>
      <c r="U38" s="4" t="n">
        <v>1623.09</v>
      </c>
      <c r="V38" s="3" t="str">
        <f aca="false">IF(N38&lt;=0,"Yes","No")</f>
        <v>No</v>
      </c>
      <c r="W38" s="3" t="n">
        <v>1500</v>
      </c>
      <c r="X38" s="3" t="n">
        <v>1646</v>
      </c>
      <c r="Y38" s="5" t="n">
        <f aca="false">IFERROR(1-ABS(W38-X38)/X38,0)</f>
        <v>0.911300121506683</v>
      </c>
      <c r="Z38" s="6" t="n">
        <f aca="false">IFERROR(M38/((K38+N38)/2),0)</f>
        <v>0.530455635491607</v>
      </c>
    </row>
    <row r="39" customFormat="false" ht="15" hidden="false" customHeight="false" outlineLevel="0" collapsed="false">
      <c r="A39" s="2" t="n">
        <v>45504</v>
      </c>
      <c r="B39" s="3" t="s">
        <v>81</v>
      </c>
      <c r="C39" s="3" t="s">
        <v>82</v>
      </c>
      <c r="D39" s="3" t="n">
        <v>2024</v>
      </c>
      <c r="E39" s="3" t="s">
        <v>72</v>
      </c>
      <c r="F39" s="3" t="s">
        <v>73</v>
      </c>
      <c r="G39" s="3" t="s">
        <v>30</v>
      </c>
      <c r="H39" s="3" t="s">
        <v>65</v>
      </c>
      <c r="I39" s="3" t="s">
        <v>41</v>
      </c>
      <c r="J39" s="3" t="s">
        <v>33</v>
      </c>
      <c r="K39" s="3" t="n">
        <v>1372</v>
      </c>
      <c r="L39" s="3" t="n">
        <v>718</v>
      </c>
      <c r="M39" s="3" t="n">
        <v>1403</v>
      </c>
      <c r="N39" s="3" t="n">
        <f aca="false">K39+L39-M39</f>
        <v>687</v>
      </c>
      <c r="O39" s="3" t="n">
        <v>156</v>
      </c>
      <c r="P39" s="3" t="str">
        <f aca="false">IF(N39&lt;=O39,"Reorder Needed","Sufficient")</f>
        <v>Sufficient</v>
      </c>
      <c r="Q39" s="3" t="n">
        <v>10</v>
      </c>
      <c r="R39" s="3" t="n">
        <v>398</v>
      </c>
      <c r="S39" s="3" t="str">
        <f aca="false">IF(T39&gt;Q39,"Delayed","On Time")</f>
        <v>On Time</v>
      </c>
      <c r="T39" s="3" t="n">
        <v>9</v>
      </c>
      <c r="U39" s="4" t="n">
        <v>11915.53</v>
      </c>
      <c r="V39" s="3" t="str">
        <f aca="false">IF(N39&lt;=0,"Yes","No")</f>
        <v>No</v>
      </c>
      <c r="W39" s="3" t="n">
        <v>424</v>
      </c>
      <c r="X39" s="3" t="n">
        <v>486</v>
      </c>
      <c r="Y39" s="5" t="n">
        <f aca="false">IFERROR(1-ABS(W39-X39)/X39,0)</f>
        <v>0.872427983539095</v>
      </c>
      <c r="Z39" s="6" t="n">
        <f aca="false">IFERROR(M39/((K39+N39)/2),0)</f>
        <v>1.36279747450219</v>
      </c>
    </row>
    <row r="40" customFormat="false" ht="15" hidden="false" customHeight="false" outlineLevel="0" collapsed="false">
      <c r="A40" s="2" t="n">
        <v>45511</v>
      </c>
      <c r="B40" s="3" t="s">
        <v>86</v>
      </c>
      <c r="C40" s="3" t="s">
        <v>82</v>
      </c>
      <c r="D40" s="3" t="n">
        <v>2024</v>
      </c>
      <c r="E40" s="3" t="s">
        <v>42</v>
      </c>
      <c r="F40" s="3" t="s">
        <v>43</v>
      </c>
      <c r="G40" s="3" t="s">
        <v>44</v>
      </c>
      <c r="H40" s="3" t="s">
        <v>61</v>
      </c>
      <c r="I40" s="3" t="s">
        <v>45</v>
      </c>
      <c r="J40" s="3" t="s">
        <v>46</v>
      </c>
      <c r="K40" s="3" t="n">
        <v>1082</v>
      </c>
      <c r="L40" s="3" t="n">
        <v>34</v>
      </c>
      <c r="M40" s="3" t="n">
        <v>386</v>
      </c>
      <c r="N40" s="3" t="n">
        <f aca="false">K40+L40-M40</f>
        <v>730</v>
      </c>
      <c r="O40" s="3" t="n">
        <v>177</v>
      </c>
      <c r="P40" s="3" t="str">
        <f aca="false">IF(N40&lt;=O40,"Reorder Needed","Sufficient")</f>
        <v>Sufficient</v>
      </c>
      <c r="Q40" s="3" t="n">
        <v>11</v>
      </c>
      <c r="R40" s="3" t="n">
        <v>688</v>
      </c>
      <c r="S40" s="3" t="str">
        <f aca="false">IF(T40&gt;Q40,"Delayed","On Time")</f>
        <v>Delayed</v>
      </c>
      <c r="T40" s="3" t="n">
        <v>14</v>
      </c>
      <c r="U40" s="4" t="n">
        <v>7602.69</v>
      </c>
      <c r="V40" s="3" t="str">
        <f aca="false">IF(N40&lt;=0,"Yes","No")</f>
        <v>No</v>
      </c>
      <c r="W40" s="3" t="n">
        <v>1417</v>
      </c>
      <c r="X40" s="3" t="n">
        <v>1415</v>
      </c>
      <c r="Y40" s="5" t="n">
        <f aca="false">IFERROR(1-ABS(W40-X40)/X40,0)</f>
        <v>0.998586572438163</v>
      </c>
      <c r="Z40" s="6" t="n">
        <f aca="false">IFERROR(M40/((K40+N40)/2),0)</f>
        <v>0.426048565121413</v>
      </c>
    </row>
    <row r="41" customFormat="false" ht="15" hidden="false" customHeight="false" outlineLevel="0" collapsed="false">
      <c r="A41" s="2" t="n">
        <v>45512</v>
      </c>
      <c r="B41" s="3" t="s">
        <v>86</v>
      </c>
      <c r="C41" s="3" t="s">
        <v>82</v>
      </c>
      <c r="D41" s="3" t="n">
        <v>2024</v>
      </c>
      <c r="E41" s="3" t="s">
        <v>75</v>
      </c>
      <c r="F41" s="3" t="s">
        <v>76</v>
      </c>
      <c r="G41" s="3" t="s">
        <v>36</v>
      </c>
      <c r="H41" s="3" t="s">
        <v>31</v>
      </c>
      <c r="I41" s="3" t="s">
        <v>55</v>
      </c>
      <c r="J41" s="3" t="s">
        <v>56</v>
      </c>
      <c r="K41" s="3" t="n">
        <v>306</v>
      </c>
      <c r="L41" s="3" t="n">
        <v>396</v>
      </c>
      <c r="M41" s="3" t="n">
        <v>428</v>
      </c>
      <c r="N41" s="3" t="n">
        <f aca="false">K41+L41-M41</f>
        <v>274</v>
      </c>
      <c r="O41" s="3" t="n">
        <v>390</v>
      </c>
      <c r="P41" s="3" t="str">
        <f aca="false">IF(N41&lt;=O41,"Reorder Needed","Sufficient")</f>
        <v>Reorder Needed</v>
      </c>
      <c r="Q41" s="3" t="n">
        <v>13</v>
      </c>
      <c r="R41" s="3" t="n">
        <v>333</v>
      </c>
      <c r="S41" s="3" t="str">
        <f aca="false">IF(T41&gt;Q41,"Delayed","On Time")</f>
        <v>Delayed</v>
      </c>
      <c r="T41" s="3" t="n">
        <v>19</v>
      </c>
      <c r="U41" s="4" t="n">
        <v>12606.08</v>
      </c>
      <c r="V41" s="3" t="str">
        <f aca="false">IF(N41&lt;=0,"Yes","No")</f>
        <v>No</v>
      </c>
      <c r="W41" s="3" t="n">
        <v>149</v>
      </c>
      <c r="X41" s="3" t="n">
        <v>190</v>
      </c>
      <c r="Y41" s="5" t="n">
        <f aca="false">IFERROR(1-ABS(W41-X41)/X41,0)</f>
        <v>0.78421052631579</v>
      </c>
      <c r="Z41" s="6" t="n">
        <f aca="false">IFERROR(M41/((K41+N41)/2),0)</f>
        <v>1.47586206896552</v>
      </c>
    </row>
    <row r="42" customFormat="false" ht="15" hidden="false" customHeight="false" outlineLevel="0" collapsed="false">
      <c r="A42" s="2" t="n">
        <v>45513</v>
      </c>
      <c r="B42" s="3" t="s">
        <v>86</v>
      </c>
      <c r="C42" s="3" t="s">
        <v>82</v>
      </c>
      <c r="D42" s="3" t="n">
        <v>2024</v>
      </c>
      <c r="E42" s="3" t="s">
        <v>49</v>
      </c>
      <c r="F42" s="3" t="s">
        <v>50</v>
      </c>
      <c r="G42" s="3" t="s">
        <v>30</v>
      </c>
      <c r="H42" s="3" t="s">
        <v>52</v>
      </c>
      <c r="I42" s="3" t="s">
        <v>32</v>
      </c>
      <c r="J42" s="3" t="s">
        <v>33</v>
      </c>
      <c r="K42" s="3" t="n">
        <v>852</v>
      </c>
      <c r="L42" s="3" t="n">
        <v>90</v>
      </c>
      <c r="M42" s="3" t="n">
        <v>364</v>
      </c>
      <c r="N42" s="3" t="n">
        <f aca="false">K42+L42-M42</f>
        <v>578</v>
      </c>
      <c r="O42" s="3" t="n">
        <v>307</v>
      </c>
      <c r="P42" s="3" t="str">
        <f aca="false">IF(N42&lt;=O42,"Reorder Needed","Sufficient")</f>
        <v>Sufficient</v>
      </c>
      <c r="Q42" s="3" t="n">
        <v>21</v>
      </c>
      <c r="R42" s="3" t="n">
        <v>450</v>
      </c>
      <c r="S42" s="3" t="str">
        <f aca="false">IF(T42&gt;Q42,"Delayed","On Time")</f>
        <v>Delayed</v>
      </c>
      <c r="T42" s="3" t="n">
        <v>23</v>
      </c>
      <c r="U42" s="4" t="n">
        <v>1352.77</v>
      </c>
      <c r="V42" s="3" t="str">
        <f aca="false">IF(N42&lt;=0,"Yes","No")</f>
        <v>No</v>
      </c>
      <c r="W42" s="3" t="n">
        <v>154</v>
      </c>
      <c r="X42" s="3" t="n">
        <v>108</v>
      </c>
      <c r="Y42" s="5" t="n">
        <f aca="false">IFERROR(1-ABS(W42-X42)/X42,0)</f>
        <v>0.574074074074074</v>
      </c>
      <c r="Z42" s="6" t="n">
        <f aca="false">IFERROR(M42/((K42+N42)/2),0)</f>
        <v>0.509090909090909</v>
      </c>
    </row>
    <row r="43" customFormat="false" ht="15" hidden="false" customHeight="false" outlineLevel="0" collapsed="false">
      <c r="A43" s="2" t="n">
        <v>45519</v>
      </c>
      <c r="B43" s="3" t="s">
        <v>86</v>
      </c>
      <c r="C43" s="3" t="s">
        <v>82</v>
      </c>
      <c r="D43" s="3" t="n">
        <v>2024</v>
      </c>
      <c r="E43" s="3" t="s">
        <v>83</v>
      </c>
      <c r="F43" s="3" t="s">
        <v>84</v>
      </c>
      <c r="G43" s="3" t="s">
        <v>60</v>
      </c>
      <c r="H43" s="3" t="s">
        <v>85</v>
      </c>
      <c r="I43" s="3" t="s">
        <v>38</v>
      </c>
      <c r="J43" s="3" t="s">
        <v>39</v>
      </c>
      <c r="K43" s="3" t="n">
        <v>1495</v>
      </c>
      <c r="L43" s="3" t="n">
        <v>300</v>
      </c>
      <c r="M43" s="3" t="n">
        <v>1442</v>
      </c>
      <c r="N43" s="3" t="n">
        <f aca="false">K43+L43-M43</f>
        <v>353</v>
      </c>
      <c r="O43" s="3" t="n">
        <v>250</v>
      </c>
      <c r="P43" s="3" t="str">
        <f aca="false">IF(N43&lt;=O43,"Reorder Needed","Sufficient")</f>
        <v>Sufficient</v>
      </c>
      <c r="Q43" s="3" t="n">
        <v>6</v>
      </c>
      <c r="R43" s="3" t="n">
        <v>438</v>
      </c>
      <c r="S43" s="3" t="str">
        <f aca="false">IF(T43&gt;Q43,"Delayed","On Time")</f>
        <v>On Time</v>
      </c>
      <c r="T43" s="3" t="n">
        <v>6</v>
      </c>
      <c r="U43" s="4" t="n">
        <v>12850.4</v>
      </c>
      <c r="V43" s="3" t="str">
        <f aca="false">IF(N43&lt;=0,"Yes","No")</f>
        <v>No</v>
      </c>
      <c r="W43" s="3" t="n">
        <v>824</v>
      </c>
      <c r="X43" s="3" t="n">
        <v>849</v>
      </c>
      <c r="Y43" s="5" t="n">
        <f aca="false">IFERROR(1-ABS(W43-X43)/X43,0)</f>
        <v>0.97055359246172</v>
      </c>
      <c r="Z43" s="6" t="n">
        <f aca="false">IFERROR(M43/((K43+N43)/2),0)</f>
        <v>1.56060606060606</v>
      </c>
    </row>
    <row r="44" customFormat="false" ht="15" hidden="false" customHeight="false" outlineLevel="0" collapsed="false">
      <c r="A44" s="2" t="n">
        <v>45519</v>
      </c>
      <c r="B44" s="3" t="s">
        <v>86</v>
      </c>
      <c r="C44" s="3" t="s">
        <v>82</v>
      </c>
      <c r="D44" s="3" t="n">
        <v>2024</v>
      </c>
      <c r="E44" s="3" t="s">
        <v>42</v>
      </c>
      <c r="F44" s="3" t="s">
        <v>43</v>
      </c>
      <c r="G44" s="3" t="s">
        <v>44</v>
      </c>
      <c r="H44" s="3" t="s">
        <v>37</v>
      </c>
      <c r="I44" s="3" t="s">
        <v>32</v>
      </c>
      <c r="J44" s="3" t="s">
        <v>33</v>
      </c>
      <c r="K44" s="3" t="n">
        <v>1293</v>
      </c>
      <c r="L44" s="3" t="n">
        <v>135</v>
      </c>
      <c r="M44" s="3" t="n">
        <v>1377</v>
      </c>
      <c r="N44" s="3" t="n">
        <f aca="false">K44+L44-M44</f>
        <v>51</v>
      </c>
      <c r="O44" s="3" t="n">
        <v>386</v>
      </c>
      <c r="P44" s="3" t="str">
        <f aca="false">IF(N44&lt;=O44,"Reorder Needed","Sufficient")</f>
        <v>Reorder Needed</v>
      </c>
      <c r="Q44" s="3" t="n">
        <v>15</v>
      </c>
      <c r="R44" s="3" t="n">
        <v>691</v>
      </c>
      <c r="S44" s="3" t="str">
        <f aca="false">IF(T44&gt;Q44,"Delayed","On Time")</f>
        <v>Delayed</v>
      </c>
      <c r="T44" s="3" t="n">
        <v>19</v>
      </c>
      <c r="U44" s="4" t="n">
        <v>6708.81</v>
      </c>
      <c r="V44" s="3" t="str">
        <f aca="false">IF(N44&lt;=0,"Yes","No")</f>
        <v>No</v>
      </c>
      <c r="W44" s="3" t="n">
        <v>791</v>
      </c>
      <c r="X44" s="3" t="n">
        <v>663</v>
      </c>
      <c r="Y44" s="5" t="n">
        <f aca="false">IFERROR(1-ABS(W44-X44)/X44,0)</f>
        <v>0.806938159879336</v>
      </c>
      <c r="Z44" s="6" t="n">
        <f aca="false">IFERROR(M44/((K44+N44)/2),0)</f>
        <v>2.04910714285714</v>
      </c>
    </row>
    <row r="45" customFormat="false" ht="15" hidden="false" customHeight="false" outlineLevel="0" collapsed="false">
      <c r="A45" s="2" t="n">
        <v>45522</v>
      </c>
      <c r="B45" s="3" t="s">
        <v>86</v>
      </c>
      <c r="C45" s="3" t="s">
        <v>82</v>
      </c>
      <c r="D45" s="3" t="n">
        <v>2024</v>
      </c>
      <c r="E45" s="3" t="s">
        <v>72</v>
      </c>
      <c r="F45" s="3" t="s">
        <v>73</v>
      </c>
      <c r="G45" s="3" t="s">
        <v>30</v>
      </c>
      <c r="H45" s="3" t="s">
        <v>61</v>
      </c>
      <c r="I45" s="3" t="s">
        <v>41</v>
      </c>
      <c r="J45" s="3" t="s">
        <v>33</v>
      </c>
      <c r="K45" s="3" t="n">
        <v>89</v>
      </c>
      <c r="L45" s="3" t="n">
        <v>632</v>
      </c>
      <c r="M45" s="3" t="n">
        <v>23</v>
      </c>
      <c r="N45" s="3" t="n">
        <f aca="false">K45+L45-M45</f>
        <v>698</v>
      </c>
      <c r="O45" s="3" t="n">
        <v>332</v>
      </c>
      <c r="P45" s="3" t="str">
        <f aca="false">IF(N45&lt;=O45,"Reorder Needed","Sufficient")</f>
        <v>Sufficient</v>
      </c>
      <c r="Q45" s="3" t="n">
        <v>6</v>
      </c>
      <c r="R45" s="3" t="n">
        <v>796</v>
      </c>
      <c r="S45" s="3" t="str">
        <f aca="false">IF(T45&gt;Q45,"Delayed","On Time")</f>
        <v>Delayed</v>
      </c>
      <c r="T45" s="3" t="n">
        <v>7</v>
      </c>
      <c r="U45" s="4" t="n">
        <v>4208.08</v>
      </c>
      <c r="V45" s="3" t="str">
        <f aca="false">IF(N45&lt;=0,"Yes","No")</f>
        <v>No</v>
      </c>
      <c r="W45" s="3" t="n">
        <v>788</v>
      </c>
      <c r="X45" s="3" t="n">
        <v>801</v>
      </c>
      <c r="Y45" s="5" t="n">
        <f aca="false">IFERROR(1-ABS(W45-X45)/X45,0)</f>
        <v>0.983770287141074</v>
      </c>
      <c r="Z45" s="6" t="n">
        <f aca="false">IFERROR(M45/((K45+N45)/2),0)</f>
        <v>0.0584498094027954</v>
      </c>
    </row>
    <row r="46" customFormat="false" ht="15" hidden="false" customHeight="false" outlineLevel="0" collapsed="false">
      <c r="A46" s="2" t="n">
        <v>45525</v>
      </c>
      <c r="B46" s="3" t="s">
        <v>86</v>
      </c>
      <c r="C46" s="3" t="s">
        <v>82</v>
      </c>
      <c r="D46" s="3" t="n">
        <v>2024</v>
      </c>
      <c r="E46" s="3" t="s">
        <v>87</v>
      </c>
      <c r="F46" s="3" t="s">
        <v>88</v>
      </c>
      <c r="G46" s="3" t="s">
        <v>64</v>
      </c>
      <c r="H46" s="3" t="s">
        <v>40</v>
      </c>
      <c r="I46" s="3" t="s">
        <v>32</v>
      </c>
      <c r="J46" s="3" t="s">
        <v>33</v>
      </c>
      <c r="K46" s="3" t="n">
        <v>1241</v>
      </c>
      <c r="L46" s="3" t="n">
        <v>671</v>
      </c>
      <c r="M46" s="3" t="n">
        <v>1959</v>
      </c>
      <c r="N46" s="3" t="n">
        <f aca="false">K46+L46-M46</f>
        <v>-47</v>
      </c>
      <c r="O46" s="3" t="n">
        <v>224</v>
      </c>
      <c r="P46" s="3" t="str">
        <f aca="false">IF(N46&lt;=O46,"Reorder Needed","Sufficient")</f>
        <v>Reorder Needed</v>
      </c>
      <c r="Q46" s="3" t="n">
        <v>12</v>
      </c>
      <c r="R46" s="3" t="n">
        <v>236</v>
      </c>
      <c r="S46" s="3" t="str">
        <f aca="false">IF(T46&gt;Q46,"Delayed","On Time")</f>
        <v>On Time</v>
      </c>
      <c r="T46" s="3" t="n">
        <v>10</v>
      </c>
      <c r="U46" s="4" t="n">
        <v>986.92</v>
      </c>
      <c r="V46" s="3" t="str">
        <f aca="false">IF(N46&lt;=0,"Yes","No")</f>
        <v>Yes</v>
      </c>
      <c r="W46" s="3" t="n">
        <v>424</v>
      </c>
      <c r="X46" s="3" t="n">
        <v>347</v>
      </c>
      <c r="Y46" s="5" t="n">
        <f aca="false">IFERROR(1-ABS(W46-X46)/X46,0)</f>
        <v>0.778097982708934</v>
      </c>
      <c r="Z46" s="6" t="n">
        <f aca="false">IFERROR(M46/((K46+N46)/2),0)</f>
        <v>3.28140703517588</v>
      </c>
    </row>
    <row r="47" customFormat="false" ht="15" hidden="false" customHeight="false" outlineLevel="0" collapsed="false">
      <c r="A47" s="2" t="n">
        <v>45528</v>
      </c>
      <c r="B47" s="3" t="s">
        <v>86</v>
      </c>
      <c r="C47" s="3" t="s">
        <v>82</v>
      </c>
      <c r="D47" s="3" t="n">
        <v>2024</v>
      </c>
      <c r="E47" s="3" t="s">
        <v>34</v>
      </c>
      <c r="F47" s="3" t="s">
        <v>35</v>
      </c>
      <c r="G47" s="3" t="s">
        <v>36</v>
      </c>
      <c r="H47" s="3" t="s">
        <v>85</v>
      </c>
      <c r="I47" s="3" t="s">
        <v>55</v>
      </c>
      <c r="J47" s="3" t="s">
        <v>56</v>
      </c>
      <c r="K47" s="3" t="n">
        <v>719</v>
      </c>
      <c r="L47" s="3" t="n">
        <v>7</v>
      </c>
      <c r="M47" s="3" t="n">
        <v>535</v>
      </c>
      <c r="N47" s="3" t="n">
        <f aca="false">K47+L47-M47</f>
        <v>191</v>
      </c>
      <c r="O47" s="3" t="n">
        <v>334</v>
      </c>
      <c r="P47" s="3" t="str">
        <f aca="false">IF(N47&lt;=O47,"Reorder Needed","Sufficient")</f>
        <v>Reorder Needed</v>
      </c>
      <c r="Q47" s="3" t="n">
        <v>7</v>
      </c>
      <c r="R47" s="3" t="n">
        <v>695</v>
      </c>
      <c r="S47" s="3" t="str">
        <f aca="false">IF(T47&gt;Q47,"Delayed","On Time")</f>
        <v>Delayed</v>
      </c>
      <c r="T47" s="3" t="n">
        <v>10</v>
      </c>
      <c r="U47" s="4" t="n">
        <v>2059.11</v>
      </c>
      <c r="V47" s="3" t="str">
        <f aca="false">IF(N47&lt;=0,"Yes","No")</f>
        <v>No</v>
      </c>
      <c r="W47" s="3" t="n">
        <v>624</v>
      </c>
      <c r="X47" s="3" t="n">
        <v>747</v>
      </c>
      <c r="Y47" s="5" t="n">
        <f aca="false">IFERROR(1-ABS(W47-X47)/X47,0)</f>
        <v>0.835341365461847</v>
      </c>
      <c r="Z47" s="6" t="n">
        <f aca="false">IFERROR(M47/((K47+N47)/2),0)</f>
        <v>1.17582417582418</v>
      </c>
    </row>
    <row r="48" customFormat="false" ht="15" hidden="false" customHeight="false" outlineLevel="0" collapsed="false">
      <c r="A48" s="2" t="n">
        <v>45529</v>
      </c>
      <c r="B48" s="3" t="s">
        <v>86</v>
      </c>
      <c r="C48" s="3" t="s">
        <v>82</v>
      </c>
      <c r="D48" s="3" t="n">
        <v>2024</v>
      </c>
      <c r="E48" s="3" t="s">
        <v>66</v>
      </c>
      <c r="F48" s="3" t="s">
        <v>67</v>
      </c>
      <c r="G48" s="3" t="s">
        <v>64</v>
      </c>
      <c r="H48" s="3" t="s">
        <v>40</v>
      </c>
      <c r="I48" s="3" t="s">
        <v>45</v>
      </c>
      <c r="J48" s="3" t="s">
        <v>46</v>
      </c>
      <c r="K48" s="3" t="n">
        <v>1086</v>
      </c>
      <c r="L48" s="3" t="n">
        <v>707</v>
      </c>
      <c r="M48" s="3" t="n">
        <v>1278</v>
      </c>
      <c r="N48" s="3" t="n">
        <f aca="false">K48+L48-M48</f>
        <v>515</v>
      </c>
      <c r="O48" s="3" t="n">
        <v>87</v>
      </c>
      <c r="P48" s="3" t="str">
        <f aca="false">IF(N48&lt;=O48,"Reorder Needed","Sufficient")</f>
        <v>Sufficient</v>
      </c>
      <c r="Q48" s="3" t="n">
        <v>20</v>
      </c>
      <c r="R48" s="3" t="n">
        <v>677</v>
      </c>
      <c r="S48" s="3" t="str">
        <f aca="false">IF(T48&gt;Q48,"Delayed","On Time")</f>
        <v>Delayed</v>
      </c>
      <c r="T48" s="3" t="n">
        <v>26</v>
      </c>
      <c r="U48" s="4" t="n">
        <v>5826.47</v>
      </c>
      <c r="V48" s="3" t="str">
        <f aca="false">IF(N48&lt;=0,"Yes","No")</f>
        <v>No</v>
      </c>
      <c r="W48" s="3" t="n">
        <v>471</v>
      </c>
      <c r="X48" s="3" t="n">
        <v>532</v>
      </c>
      <c r="Y48" s="5" t="n">
        <f aca="false">IFERROR(1-ABS(W48-X48)/X48,0)</f>
        <v>0.885338345864662</v>
      </c>
      <c r="Z48" s="6" t="n">
        <f aca="false">IFERROR(M48/((K48+N48)/2),0)</f>
        <v>1.59650218613367</v>
      </c>
    </row>
    <row r="49" customFormat="false" ht="15" hidden="false" customHeight="false" outlineLevel="0" collapsed="false">
      <c r="A49" s="2" t="n">
        <v>45531</v>
      </c>
      <c r="B49" s="3" t="s">
        <v>86</v>
      </c>
      <c r="C49" s="3" t="s">
        <v>82</v>
      </c>
      <c r="D49" s="3" t="n">
        <v>2024</v>
      </c>
      <c r="E49" s="3" t="s">
        <v>49</v>
      </c>
      <c r="F49" s="3" t="s">
        <v>50</v>
      </c>
      <c r="G49" s="3" t="s">
        <v>30</v>
      </c>
      <c r="H49" s="3" t="s">
        <v>85</v>
      </c>
      <c r="I49" s="3" t="s">
        <v>38</v>
      </c>
      <c r="J49" s="3" t="s">
        <v>39</v>
      </c>
      <c r="K49" s="3" t="n">
        <v>964</v>
      </c>
      <c r="L49" s="3" t="n">
        <v>260</v>
      </c>
      <c r="M49" s="3" t="n">
        <v>1296</v>
      </c>
      <c r="N49" s="3" t="n">
        <f aca="false">K49+L49-M49</f>
        <v>-72</v>
      </c>
      <c r="O49" s="3" t="n">
        <v>82</v>
      </c>
      <c r="P49" s="3" t="str">
        <f aca="false">IF(N49&lt;=O49,"Reorder Needed","Sufficient")</f>
        <v>Reorder Needed</v>
      </c>
      <c r="Q49" s="3" t="n">
        <v>19</v>
      </c>
      <c r="R49" s="3" t="n">
        <v>196</v>
      </c>
      <c r="S49" s="3" t="str">
        <f aca="false">IF(T49&gt;Q49,"Delayed","On Time")</f>
        <v>Delayed</v>
      </c>
      <c r="T49" s="3" t="n">
        <v>23</v>
      </c>
      <c r="U49" s="4" t="n">
        <v>6248.34</v>
      </c>
      <c r="V49" s="3" t="str">
        <f aca="false">IF(N49&lt;=0,"Yes","No")</f>
        <v>Yes</v>
      </c>
      <c r="W49" s="3" t="n">
        <v>781</v>
      </c>
      <c r="X49" s="3" t="n">
        <v>922</v>
      </c>
      <c r="Y49" s="5" t="n">
        <f aca="false">IFERROR(1-ABS(W49-X49)/X49,0)</f>
        <v>0.8470715835141</v>
      </c>
      <c r="Z49" s="6" t="n">
        <f aca="false">IFERROR(M49/((K49+N49)/2),0)</f>
        <v>2.90582959641256</v>
      </c>
    </row>
    <row r="50" customFormat="false" ht="15" hidden="false" customHeight="false" outlineLevel="0" collapsed="false">
      <c r="A50" s="2" t="n">
        <v>45533</v>
      </c>
      <c r="B50" s="3" t="s">
        <v>86</v>
      </c>
      <c r="C50" s="3" t="s">
        <v>82</v>
      </c>
      <c r="D50" s="3" t="n">
        <v>2024</v>
      </c>
      <c r="E50" s="3" t="s">
        <v>89</v>
      </c>
      <c r="F50" s="3" t="s">
        <v>90</v>
      </c>
      <c r="G50" s="3" t="s">
        <v>36</v>
      </c>
      <c r="H50" s="3" t="s">
        <v>31</v>
      </c>
      <c r="I50" s="3" t="s">
        <v>45</v>
      </c>
      <c r="J50" s="3" t="s">
        <v>46</v>
      </c>
      <c r="K50" s="3" t="n">
        <v>58</v>
      </c>
      <c r="L50" s="3" t="n">
        <v>558</v>
      </c>
      <c r="M50" s="3" t="n">
        <v>448</v>
      </c>
      <c r="N50" s="3" t="n">
        <f aca="false">K50+L50-M50</f>
        <v>168</v>
      </c>
      <c r="O50" s="3" t="n">
        <v>237</v>
      </c>
      <c r="P50" s="3" t="str">
        <f aca="false">IF(N50&lt;=O50,"Reorder Needed","Sufficient")</f>
        <v>Reorder Needed</v>
      </c>
      <c r="Q50" s="3" t="n">
        <v>20</v>
      </c>
      <c r="R50" s="3" t="n">
        <v>86</v>
      </c>
      <c r="S50" s="3" t="str">
        <f aca="false">IF(T50&gt;Q50,"Delayed","On Time")</f>
        <v>Delayed</v>
      </c>
      <c r="T50" s="3" t="n">
        <v>25</v>
      </c>
      <c r="U50" s="4" t="n">
        <v>1617.9</v>
      </c>
      <c r="V50" s="3" t="str">
        <f aca="false">IF(N50&lt;=0,"Yes","No")</f>
        <v>No</v>
      </c>
      <c r="W50" s="3" t="n">
        <v>635</v>
      </c>
      <c r="X50" s="3" t="n">
        <v>469</v>
      </c>
      <c r="Y50" s="5" t="n">
        <f aca="false">IFERROR(1-ABS(W50-X50)/X50,0)</f>
        <v>0.646055437100213</v>
      </c>
      <c r="Z50" s="6" t="n">
        <f aca="false">IFERROR(M50/((K50+N50)/2),0)</f>
        <v>3.9646017699115</v>
      </c>
    </row>
    <row r="51" customFormat="false" ht="15" hidden="false" customHeight="false" outlineLevel="0" collapsed="false">
      <c r="A51" s="2" t="n">
        <v>45534</v>
      </c>
      <c r="B51" s="3" t="s">
        <v>86</v>
      </c>
      <c r="C51" s="3" t="s">
        <v>82</v>
      </c>
      <c r="D51" s="3" t="n">
        <v>2024</v>
      </c>
      <c r="E51" s="3" t="s">
        <v>87</v>
      </c>
      <c r="F51" s="3" t="s">
        <v>88</v>
      </c>
      <c r="G51" s="3" t="s">
        <v>64</v>
      </c>
      <c r="H51" s="3" t="s">
        <v>40</v>
      </c>
      <c r="I51" s="3" t="s">
        <v>38</v>
      </c>
      <c r="J51" s="3" t="s">
        <v>39</v>
      </c>
      <c r="K51" s="3" t="n">
        <v>452</v>
      </c>
      <c r="L51" s="3" t="n">
        <v>460</v>
      </c>
      <c r="M51" s="3" t="n">
        <v>172</v>
      </c>
      <c r="N51" s="3" t="n">
        <f aca="false">K51+L51-M51</f>
        <v>740</v>
      </c>
      <c r="O51" s="3" t="n">
        <v>336</v>
      </c>
      <c r="P51" s="3" t="str">
        <f aca="false">IF(N51&lt;=O51,"Reorder Needed","Sufficient")</f>
        <v>Sufficient</v>
      </c>
      <c r="Q51" s="3" t="n">
        <v>13</v>
      </c>
      <c r="R51" s="3" t="n">
        <v>713</v>
      </c>
      <c r="S51" s="3" t="str">
        <f aca="false">IF(T51&gt;Q51,"Delayed","On Time")</f>
        <v>Delayed</v>
      </c>
      <c r="T51" s="3" t="n">
        <v>19</v>
      </c>
      <c r="U51" s="4" t="n">
        <v>5269.71</v>
      </c>
      <c r="V51" s="3" t="str">
        <f aca="false">IF(N51&lt;=0,"Yes","No")</f>
        <v>No</v>
      </c>
      <c r="W51" s="3" t="n">
        <v>1045</v>
      </c>
      <c r="X51" s="3" t="n">
        <v>897</v>
      </c>
      <c r="Y51" s="5" t="n">
        <f aca="false">IFERROR(1-ABS(W51-X51)/X51,0)</f>
        <v>0.835005574136009</v>
      </c>
      <c r="Z51" s="6" t="n">
        <f aca="false">IFERROR(M51/((K51+N51)/2),0)</f>
        <v>0.288590604026846</v>
      </c>
    </row>
    <row r="52" customFormat="false" ht="15" hidden="false" customHeight="false" outlineLevel="0" collapsed="false">
      <c r="A52" s="2" t="n">
        <v>45535</v>
      </c>
      <c r="B52" s="3" t="s">
        <v>86</v>
      </c>
      <c r="C52" s="3" t="s">
        <v>82</v>
      </c>
      <c r="D52" s="3" t="n">
        <v>2024</v>
      </c>
      <c r="E52" s="3" t="s">
        <v>49</v>
      </c>
      <c r="F52" s="3" t="s">
        <v>50</v>
      </c>
      <c r="G52" s="3" t="s">
        <v>30</v>
      </c>
      <c r="H52" s="3" t="s">
        <v>31</v>
      </c>
      <c r="I52" s="3" t="s">
        <v>38</v>
      </c>
      <c r="J52" s="3" t="s">
        <v>39</v>
      </c>
      <c r="K52" s="3" t="n">
        <v>1390</v>
      </c>
      <c r="L52" s="3" t="n">
        <v>500</v>
      </c>
      <c r="M52" s="3" t="n">
        <v>1238</v>
      </c>
      <c r="N52" s="3" t="n">
        <f aca="false">K52+L52-M52</f>
        <v>652</v>
      </c>
      <c r="O52" s="3" t="n">
        <v>109</v>
      </c>
      <c r="P52" s="3" t="str">
        <f aca="false">IF(N52&lt;=O52,"Reorder Needed","Sufficient")</f>
        <v>Sufficient</v>
      </c>
      <c r="Q52" s="3" t="n">
        <v>17</v>
      </c>
      <c r="R52" s="3" t="n">
        <v>368</v>
      </c>
      <c r="S52" s="3" t="str">
        <f aca="false">IF(T52&gt;Q52,"Delayed","On Time")</f>
        <v>Delayed</v>
      </c>
      <c r="T52" s="3" t="n">
        <v>23</v>
      </c>
      <c r="U52" s="4" t="n">
        <v>2268.81</v>
      </c>
      <c r="V52" s="3" t="str">
        <f aca="false">IF(N52&lt;=0,"Yes","No")</f>
        <v>No</v>
      </c>
      <c r="W52" s="3" t="n">
        <v>340</v>
      </c>
      <c r="X52" s="3" t="n">
        <v>386</v>
      </c>
      <c r="Y52" s="5" t="n">
        <f aca="false">IFERROR(1-ABS(W52-X52)/X52,0)</f>
        <v>0.880829015544042</v>
      </c>
      <c r="Z52" s="6" t="n">
        <f aca="false">IFERROR(M52/((K52+N52)/2),0)</f>
        <v>1.21253672869736</v>
      </c>
    </row>
    <row r="53" customFormat="false" ht="15" hidden="false" customHeight="false" outlineLevel="0" collapsed="false">
      <c r="A53" s="2" t="n">
        <v>45538</v>
      </c>
      <c r="B53" s="3" t="s">
        <v>91</v>
      </c>
      <c r="C53" s="3" t="s">
        <v>82</v>
      </c>
      <c r="D53" s="3" t="n">
        <v>2024</v>
      </c>
      <c r="E53" s="3" t="s">
        <v>68</v>
      </c>
      <c r="F53" s="3" t="s">
        <v>69</v>
      </c>
      <c r="G53" s="3" t="s">
        <v>60</v>
      </c>
      <c r="H53" s="3" t="s">
        <v>31</v>
      </c>
      <c r="I53" s="3" t="s">
        <v>55</v>
      </c>
      <c r="J53" s="3" t="s">
        <v>56</v>
      </c>
      <c r="K53" s="3" t="n">
        <v>502</v>
      </c>
      <c r="L53" s="3" t="n">
        <v>316</v>
      </c>
      <c r="M53" s="3" t="n">
        <v>450</v>
      </c>
      <c r="N53" s="3" t="n">
        <f aca="false">K53+L53-M53</f>
        <v>368</v>
      </c>
      <c r="O53" s="3" t="n">
        <v>157</v>
      </c>
      <c r="P53" s="3" t="str">
        <f aca="false">IF(N53&lt;=O53,"Reorder Needed","Sufficient")</f>
        <v>Sufficient</v>
      </c>
      <c r="Q53" s="3" t="n">
        <v>11</v>
      </c>
      <c r="R53" s="3" t="n">
        <v>701</v>
      </c>
      <c r="S53" s="3" t="str">
        <f aca="false">IF(T53&gt;Q53,"Delayed","On Time")</f>
        <v>On Time</v>
      </c>
      <c r="T53" s="3" t="n">
        <v>10</v>
      </c>
      <c r="U53" s="4" t="n">
        <v>12495.58</v>
      </c>
      <c r="V53" s="3" t="str">
        <f aca="false">IF(N53&lt;=0,"Yes","No")</f>
        <v>No</v>
      </c>
      <c r="W53" s="3" t="n">
        <v>1571</v>
      </c>
      <c r="X53" s="3" t="n">
        <v>1490</v>
      </c>
      <c r="Y53" s="5" t="n">
        <f aca="false">IFERROR(1-ABS(W53-X53)/X53,0)</f>
        <v>0.945637583892617</v>
      </c>
      <c r="Z53" s="6" t="n">
        <f aca="false">IFERROR(M53/((K53+N53)/2),0)</f>
        <v>1.03448275862069</v>
      </c>
    </row>
    <row r="54" customFormat="false" ht="15" hidden="false" customHeight="false" outlineLevel="0" collapsed="false">
      <c r="A54" s="2" t="n">
        <v>45542</v>
      </c>
      <c r="B54" s="3" t="s">
        <v>91</v>
      </c>
      <c r="C54" s="3" t="s">
        <v>82</v>
      </c>
      <c r="D54" s="3" t="n">
        <v>2024</v>
      </c>
      <c r="E54" s="3" t="s">
        <v>42</v>
      </c>
      <c r="F54" s="3" t="s">
        <v>43</v>
      </c>
      <c r="G54" s="3" t="s">
        <v>44</v>
      </c>
      <c r="H54" s="3" t="s">
        <v>37</v>
      </c>
      <c r="I54" s="3" t="s">
        <v>45</v>
      </c>
      <c r="J54" s="3" t="s">
        <v>46</v>
      </c>
      <c r="K54" s="3" t="n">
        <v>982</v>
      </c>
      <c r="L54" s="3" t="n">
        <v>2</v>
      </c>
      <c r="M54" s="3" t="n">
        <v>763</v>
      </c>
      <c r="N54" s="3" t="n">
        <f aca="false">K54+L54-M54</f>
        <v>221</v>
      </c>
      <c r="O54" s="3" t="n">
        <v>165</v>
      </c>
      <c r="P54" s="3" t="str">
        <f aca="false">IF(N54&lt;=O54,"Reorder Needed","Sufficient")</f>
        <v>Sufficient</v>
      </c>
      <c r="Q54" s="3" t="n">
        <v>19</v>
      </c>
      <c r="R54" s="3" t="n">
        <v>739</v>
      </c>
      <c r="S54" s="3" t="str">
        <f aca="false">IF(T54&gt;Q54,"Delayed","On Time")</f>
        <v>Delayed</v>
      </c>
      <c r="T54" s="3" t="n">
        <v>22</v>
      </c>
      <c r="U54" s="4" t="n">
        <v>7477.16</v>
      </c>
      <c r="V54" s="3" t="str">
        <f aca="false">IF(N54&lt;=0,"Yes","No")</f>
        <v>No</v>
      </c>
      <c r="W54" s="3" t="n">
        <v>1217</v>
      </c>
      <c r="X54" s="3" t="n">
        <v>1322</v>
      </c>
      <c r="Y54" s="5" t="n">
        <f aca="false">IFERROR(1-ABS(W54-X54)/X54,0)</f>
        <v>0.920574886535552</v>
      </c>
      <c r="Z54" s="6" t="n">
        <f aca="false">IFERROR(M54/((K54+N54)/2),0)</f>
        <v>1.26849542809643</v>
      </c>
    </row>
    <row r="55" customFormat="false" ht="15" hidden="false" customHeight="false" outlineLevel="0" collapsed="false">
      <c r="A55" s="2" t="n">
        <v>45543</v>
      </c>
      <c r="B55" s="3" t="s">
        <v>91</v>
      </c>
      <c r="C55" s="3" t="s">
        <v>82</v>
      </c>
      <c r="D55" s="3" t="n">
        <v>2024</v>
      </c>
      <c r="E55" s="3" t="s">
        <v>53</v>
      </c>
      <c r="F55" s="3" t="s">
        <v>54</v>
      </c>
      <c r="G55" s="3" t="s">
        <v>36</v>
      </c>
      <c r="H55" s="3" t="s">
        <v>40</v>
      </c>
      <c r="I55" s="3" t="s">
        <v>55</v>
      </c>
      <c r="J55" s="3" t="s">
        <v>56</v>
      </c>
      <c r="K55" s="3" t="n">
        <v>902</v>
      </c>
      <c r="L55" s="3" t="n">
        <v>14</v>
      </c>
      <c r="M55" s="3" t="n">
        <v>540</v>
      </c>
      <c r="N55" s="3" t="n">
        <f aca="false">K55+L55-M55</f>
        <v>376</v>
      </c>
      <c r="O55" s="3" t="n">
        <v>332</v>
      </c>
      <c r="P55" s="3" t="str">
        <f aca="false">IF(N55&lt;=O55,"Reorder Needed","Sufficient")</f>
        <v>Sufficient</v>
      </c>
      <c r="Q55" s="3" t="n">
        <v>4</v>
      </c>
      <c r="R55" s="3" t="n">
        <v>125</v>
      </c>
      <c r="S55" s="3" t="str">
        <f aca="false">IF(T55&gt;Q55,"Delayed","On Time")</f>
        <v>Delayed</v>
      </c>
      <c r="T55" s="3" t="n">
        <v>6</v>
      </c>
      <c r="U55" s="4" t="n">
        <v>2569.73</v>
      </c>
      <c r="V55" s="3" t="str">
        <f aca="false">IF(N55&lt;=0,"Yes","No")</f>
        <v>No</v>
      </c>
      <c r="W55" s="3" t="n">
        <v>510</v>
      </c>
      <c r="X55" s="3" t="n">
        <v>596</v>
      </c>
      <c r="Y55" s="5" t="n">
        <f aca="false">IFERROR(1-ABS(W55-X55)/X55,0)</f>
        <v>0.855704697986577</v>
      </c>
      <c r="Z55" s="6" t="n">
        <f aca="false">IFERROR(M55/((K55+N55)/2),0)</f>
        <v>0.845070422535211</v>
      </c>
    </row>
    <row r="56" customFormat="false" ht="15" hidden="false" customHeight="false" outlineLevel="0" collapsed="false">
      <c r="A56" s="2" t="n">
        <v>45545</v>
      </c>
      <c r="B56" s="3" t="s">
        <v>91</v>
      </c>
      <c r="C56" s="3" t="s">
        <v>82</v>
      </c>
      <c r="D56" s="3" t="n">
        <v>2024</v>
      </c>
      <c r="E56" s="3" t="s">
        <v>42</v>
      </c>
      <c r="F56" s="3" t="s">
        <v>43</v>
      </c>
      <c r="G56" s="3" t="s">
        <v>44</v>
      </c>
      <c r="H56" s="3" t="s">
        <v>65</v>
      </c>
      <c r="I56" s="3" t="s">
        <v>32</v>
      </c>
      <c r="J56" s="3" t="s">
        <v>33</v>
      </c>
      <c r="K56" s="3" t="n">
        <v>323</v>
      </c>
      <c r="L56" s="3" t="n">
        <v>677</v>
      </c>
      <c r="M56" s="3" t="n">
        <v>406</v>
      </c>
      <c r="N56" s="3" t="n">
        <f aca="false">K56+L56-M56</f>
        <v>594</v>
      </c>
      <c r="O56" s="3" t="n">
        <v>395</v>
      </c>
      <c r="P56" s="3" t="str">
        <f aca="false">IF(N56&lt;=O56,"Reorder Needed","Sufficient")</f>
        <v>Sufficient</v>
      </c>
      <c r="Q56" s="3" t="n">
        <v>13</v>
      </c>
      <c r="R56" s="3" t="n">
        <v>448</v>
      </c>
      <c r="S56" s="3" t="str">
        <f aca="false">IF(T56&gt;Q56,"Delayed","On Time")</f>
        <v>Delayed</v>
      </c>
      <c r="T56" s="3" t="n">
        <v>18</v>
      </c>
      <c r="U56" s="4" t="n">
        <v>14745</v>
      </c>
      <c r="V56" s="3" t="str">
        <f aca="false">IF(N56&lt;=0,"Yes","No")</f>
        <v>No</v>
      </c>
      <c r="W56" s="3" t="n">
        <v>475</v>
      </c>
      <c r="X56" s="3" t="n">
        <v>600</v>
      </c>
      <c r="Y56" s="5" t="n">
        <f aca="false">IFERROR(1-ABS(W56-X56)/X56,0)</f>
        <v>0.791666666666667</v>
      </c>
      <c r="Z56" s="6" t="n">
        <f aca="false">IFERROR(M56/((K56+N56)/2),0)</f>
        <v>0.885496183206107</v>
      </c>
    </row>
    <row r="57" customFormat="false" ht="15" hidden="false" customHeight="false" outlineLevel="0" collapsed="false">
      <c r="A57" s="2" t="n">
        <v>45548</v>
      </c>
      <c r="B57" s="3" t="s">
        <v>91</v>
      </c>
      <c r="C57" s="3" t="s">
        <v>82</v>
      </c>
      <c r="D57" s="3" t="n">
        <v>2024</v>
      </c>
      <c r="E57" s="3" t="s">
        <v>58</v>
      </c>
      <c r="F57" s="3" t="s">
        <v>59</v>
      </c>
      <c r="G57" s="3" t="s">
        <v>60</v>
      </c>
      <c r="H57" s="3" t="s">
        <v>65</v>
      </c>
      <c r="I57" s="3" t="s">
        <v>45</v>
      </c>
      <c r="J57" s="3" t="s">
        <v>46</v>
      </c>
      <c r="K57" s="3" t="n">
        <v>1262</v>
      </c>
      <c r="L57" s="3" t="n">
        <v>431</v>
      </c>
      <c r="M57" s="3" t="n">
        <v>944</v>
      </c>
      <c r="N57" s="3" t="n">
        <f aca="false">K57+L57-M57</f>
        <v>749</v>
      </c>
      <c r="O57" s="3" t="n">
        <v>232</v>
      </c>
      <c r="P57" s="3" t="str">
        <f aca="false">IF(N57&lt;=O57,"Reorder Needed","Sufficient")</f>
        <v>Sufficient</v>
      </c>
      <c r="Q57" s="3" t="n">
        <v>15</v>
      </c>
      <c r="R57" s="3" t="n">
        <v>457</v>
      </c>
      <c r="S57" s="3" t="str">
        <f aca="false">IF(T57&gt;Q57,"Delayed","On Time")</f>
        <v>Delayed</v>
      </c>
      <c r="T57" s="3" t="n">
        <v>21</v>
      </c>
      <c r="U57" s="4" t="n">
        <v>4698.68</v>
      </c>
      <c r="V57" s="3" t="str">
        <f aca="false">IF(N57&lt;=0,"Yes","No")</f>
        <v>No</v>
      </c>
      <c r="W57" s="3" t="n">
        <v>1342</v>
      </c>
      <c r="X57" s="3" t="n">
        <v>1525</v>
      </c>
      <c r="Y57" s="5" t="n">
        <f aca="false">IFERROR(1-ABS(W57-X57)/X57,0)</f>
        <v>0.88</v>
      </c>
      <c r="Z57" s="6" t="n">
        <f aca="false">IFERROR(M57/((K57+N57)/2),0)</f>
        <v>0.938836399801094</v>
      </c>
    </row>
    <row r="58" customFormat="false" ht="15" hidden="false" customHeight="false" outlineLevel="0" collapsed="false">
      <c r="A58" s="2" t="n">
        <v>45552</v>
      </c>
      <c r="B58" s="3" t="s">
        <v>91</v>
      </c>
      <c r="C58" s="3" t="s">
        <v>82</v>
      </c>
      <c r="D58" s="3" t="n">
        <v>2024</v>
      </c>
      <c r="E58" s="3" t="s">
        <v>83</v>
      </c>
      <c r="F58" s="3" t="s">
        <v>84</v>
      </c>
      <c r="G58" s="3" t="s">
        <v>60</v>
      </c>
      <c r="H58" s="3" t="s">
        <v>85</v>
      </c>
      <c r="I58" s="3" t="s">
        <v>32</v>
      </c>
      <c r="J58" s="3" t="s">
        <v>33</v>
      </c>
      <c r="K58" s="3" t="n">
        <v>1245</v>
      </c>
      <c r="L58" s="3" t="n">
        <v>599</v>
      </c>
      <c r="M58" s="3" t="n">
        <v>785</v>
      </c>
      <c r="N58" s="3" t="n">
        <f aca="false">K58+L58-M58</f>
        <v>1059</v>
      </c>
      <c r="O58" s="3" t="n">
        <v>359</v>
      </c>
      <c r="P58" s="3" t="str">
        <f aca="false">IF(N58&lt;=O58,"Reorder Needed","Sufficient")</f>
        <v>Sufficient</v>
      </c>
      <c r="Q58" s="3" t="n">
        <v>6</v>
      </c>
      <c r="R58" s="3" t="n">
        <v>109</v>
      </c>
      <c r="S58" s="3" t="str">
        <f aca="false">IF(T58&gt;Q58,"Delayed","On Time")</f>
        <v>On Time</v>
      </c>
      <c r="T58" s="3" t="n">
        <v>4</v>
      </c>
      <c r="U58" s="4" t="n">
        <v>5388.1</v>
      </c>
      <c r="V58" s="3" t="str">
        <f aca="false">IF(N58&lt;=0,"Yes","No")</f>
        <v>No</v>
      </c>
      <c r="W58" s="3" t="n">
        <v>816</v>
      </c>
      <c r="X58" s="3" t="n">
        <v>947</v>
      </c>
      <c r="Y58" s="5" t="n">
        <f aca="false">IFERROR(1-ABS(W58-X58)/X58,0)</f>
        <v>0.861668426610349</v>
      </c>
      <c r="Z58" s="6" t="n">
        <f aca="false">IFERROR(M58/((K58+N58)/2),0)</f>
        <v>0.681423611111111</v>
      </c>
    </row>
    <row r="59" customFormat="false" ht="15" hidden="false" customHeight="false" outlineLevel="0" collapsed="false">
      <c r="A59" s="2" t="n">
        <v>45554</v>
      </c>
      <c r="B59" s="3" t="s">
        <v>91</v>
      </c>
      <c r="C59" s="3" t="s">
        <v>82</v>
      </c>
      <c r="D59" s="3" t="n">
        <v>2024</v>
      </c>
      <c r="E59" s="3" t="s">
        <v>34</v>
      </c>
      <c r="F59" s="3" t="s">
        <v>35</v>
      </c>
      <c r="G59" s="3" t="s">
        <v>36</v>
      </c>
      <c r="H59" s="3" t="s">
        <v>74</v>
      </c>
      <c r="I59" s="3" t="s">
        <v>32</v>
      </c>
      <c r="J59" s="3" t="s">
        <v>33</v>
      </c>
      <c r="K59" s="3" t="n">
        <v>829</v>
      </c>
      <c r="L59" s="3" t="n">
        <v>572</v>
      </c>
      <c r="M59" s="3" t="n">
        <v>1149</v>
      </c>
      <c r="N59" s="3" t="n">
        <f aca="false">K59+L59-M59</f>
        <v>252</v>
      </c>
      <c r="O59" s="3" t="n">
        <v>161</v>
      </c>
      <c r="P59" s="3" t="str">
        <f aca="false">IF(N59&lt;=O59,"Reorder Needed","Sufficient")</f>
        <v>Sufficient</v>
      </c>
      <c r="Q59" s="3" t="n">
        <v>20</v>
      </c>
      <c r="R59" s="3" t="n">
        <v>381</v>
      </c>
      <c r="S59" s="3" t="str">
        <f aca="false">IF(T59&gt;Q59,"Delayed","On Time")</f>
        <v>On Time</v>
      </c>
      <c r="T59" s="3" t="n">
        <v>19</v>
      </c>
      <c r="U59" s="4" t="n">
        <v>2569.16</v>
      </c>
      <c r="V59" s="3" t="str">
        <f aca="false">IF(N59&lt;=0,"Yes","No")</f>
        <v>No</v>
      </c>
      <c r="W59" s="3" t="n">
        <v>1442</v>
      </c>
      <c r="X59" s="3" t="n">
        <v>1242</v>
      </c>
      <c r="Y59" s="5" t="n">
        <f aca="false">IFERROR(1-ABS(W59-X59)/X59,0)</f>
        <v>0.838969404186795</v>
      </c>
      <c r="Z59" s="6" t="n">
        <f aca="false">IFERROR(M59/((K59+N59)/2),0)</f>
        <v>2.12580943570768</v>
      </c>
    </row>
    <row r="60" customFormat="false" ht="15" hidden="false" customHeight="false" outlineLevel="0" collapsed="false">
      <c r="A60" s="2" t="n">
        <v>45557</v>
      </c>
      <c r="B60" s="3" t="s">
        <v>91</v>
      </c>
      <c r="C60" s="3" t="s">
        <v>82</v>
      </c>
      <c r="D60" s="3" t="n">
        <v>2024</v>
      </c>
      <c r="E60" s="3" t="s">
        <v>72</v>
      </c>
      <c r="F60" s="3" t="s">
        <v>73</v>
      </c>
      <c r="G60" s="3" t="s">
        <v>30</v>
      </c>
      <c r="H60" s="3" t="s">
        <v>37</v>
      </c>
      <c r="I60" s="3" t="s">
        <v>45</v>
      </c>
      <c r="J60" s="3" t="s">
        <v>46</v>
      </c>
      <c r="K60" s="3" t="n">
        <v>683</v>
      </c>
      <c r="L60" s="3" t="n">
        <v>101</v>
      </c>
      <c r="M60" s="3" t="n">
        <v>182</v>
      </c>
      <c r="N60" s="3" t="n">
        <f aca="false">K60+L60-M60</f>
        <v>602</v>
      </c>
      <c r="O60" s="3" t="n">
        <v>176</v>
      </c>
      <c r="P60" s="3" t="str">
        <f aca="false">IF(N60&lt;=O60,"Reorder Needed","Sufficient")</f>
        <v>Sufficient</v>
      </c>
      <c r="Q60" s="3" t="n">
        <v>12</v>
      </c>
      <c r="R60" s="3" t="n">
        <v>384</v>
      </c>
      <c r="S60" s="3" t="str">
        <f aca="false">IF(T60&gt;Q60,"Delayed","On Time")</f>
        <v>Delayed</v>
      </c>
      <c r="T60" s="3" t="n">
        <v>18</v>
      </c>
      <c r="U60" s="4" t="n">
        <v>13203.75</v>
      </c>
      <c r="V60" s="3" t="str">
        <f aca="false">IF(N60&lt;=0,"Yes","No")</f>
        <v>No</v>
      </c>
      <c r="W60" s="3" t="n">
        <v>594</v>
      </c>
      <c r="X60" s="3" t="n">
        <v>755</v>
      </c>
      <c r="Y60" s="5" t="n">
        <f aca="false">IFERROR(1-ABS(W60-X60)/X60,0)</f>
        <v>0.786754966887417</v>
      </c>
      <c r="Z60" s="6" t="n">
        <f aca="false">IFERROR(M60/((K60+N60)/2),0)</f>
        <v>0.283268482490272</v>
      </c>
    </row>
    <row r="61" customFormat="false" ht="15" hidden="false" customHeight="false" outlineLevel="0" collapsed="false">
      <c r="A61" s="2" t="n">
        <v>45557</v>
      </c>
      <c r="B61" s="3" t="s">
        <v>91</v>
      </c>
      <c r="C61" s="3" t="s">
        <v>82</v>
      </c>
      <c r="D61" s="3" t="n">
        <v>2024</v>
      </c>
      <c r="E61" s="3" t="s">
        <v>28</v>
      </c>
      <c r="F61" s="3" t="s">
        <v>29</v>
      </c>
      <c r="G61" s="3" t="s">
        <v>30</v>
      </c>
      <c r="H61" s="3" t="s">
        <v>40</v>
      </c>
      <c r="I61" s="3" t="s">
        <v>55</v>
      </c>
      <c r="J61" s="3" t="s">
        <v>56</v>
      </c>
      <c r="K61" s="3" t="n">
        <v>1257</v>
      </c>
      <c r="L61" s="3" t="n">
        <v>303</v>
      </c>
      <c r="M61" s="3" t="n">
        <v>551</v>
      </c>
      <c r="N61" s="3" t="n">
        <f aca="false">K61+L61-M61</f>
        <v>1009</v>
      </c>
      <c r="O61" s="3" t="n">
        <v>80</v>
      </c>
      <c r="P61" s="3" t="str">
        <f aca="false">IF(N61&lt;=O61,"Reorder Needed","Sufficient")</f>
        <v>Sufficient</v>
      </c>
      <c r="Q61" s="3" t="n">
        <v>6</v>
      </c>
      <c r="R61" s="3" t="n">
        <v>575</v>
      </c>
      <c r="S61" s="3" t="str">
        <f aca="false">IF(T61&gt;Q61,"Delayed","On Time")</f>
        <v>On Time</v>
      </c>
      <c r="T61" s="3" t="n">
        <v>6</v>
      </c>
      <c r="U61" s="4" t="n">
        <v>14976.08</v>
      </c>
      <c r="V61" s="3" t="str">
        <f aca="false">IF(N61&lt;=0,"Yes","No")</f>
        <v>No</v>
      </c>
      <c r="W61" s="3" t="n">
        <v>640</v>
      </c>
      <c r="X61" s="3" t="n">
        <v>749</v>
      </c>
      <c r="Y61" s="5" t="n">
        <f aca="false">IFERROR(1-ABS(W61-X61)/X61,0)</f>
        <v>0.854472630173565</v>
      </c>
      <c r="Z61" s="6" t="n">
        <f aca="false">IFERROR(M61/((K61+N61)/2),0)</f>
        <v>0.486319505736981</v>
      </c>
    </row>
    <row r="62" customFormat="false" ht="15" hidden="false" customHeight="false" outlineLevel="0" collapsed="false">
      <c r="A62" s="2" t="n">
        <v>45560</v>
      </c>
      <c r="B62" s="3" t="s">
        <v>91</v>
      </c>
      <c r="C62" s="3" t="s">
        <v>82</v>
      </c>
      <c r="D62" s="3" t="n">
        <v>2024</v>
      </c>
      <c r="E62" s="3" t="s">
        <v>42</v>
      </c>
      <c r="F62" s="3" t="s">
        <v>43</v>
      </c>
      <c r="G62" s="3" t="s">
        <v>44</v>
      </c>
      <c r="H62" s="3" t="s">
        <v>40</v>
      </c>
      <c r="I62" s="3" t="s">
        <v>38</v>
      </c>
      <c r="J62" s="3" t="s">
        <v>39</v>
      </c>
      <c r="K62" s="3" t="n">
        <v>128</v>
      </c>
      <c r="L62" s="3" t="n">
        <v>260</v>
      </c>
      <c r="M62" s="3" t="n">
        <v>262</v>
      </c>
      <c r="N62" s="3" t="n">
        <f aca="false">K62+L62-M62</f>
        <v>126</v>
      </c>
      <c r="O62" s="3" t="n">
        <v>382</v>
      </c>
      <c r="P62" s="3" t="str">
        <f aca="false">IF(N62&lt;=O62,"Reorder Needed","Sufficient")</f>
        <v>Reorder Needed</v>
      </c>
      <c r="Q62" s="3" t="n">
        <v>11</v>
      </c>
      <c r="R62" s="3" t="n">
        <v>311</v>
      </c>
      <c r="S62" s="3" t="str">
        <f aca="false">IF(T62&gt;Q62,"Delayed","On Time")</f>
        <v>On Time</v>
      </c>
      <c r="T62" s="3" t="n">
        <v>9</v>
      </c>
      <c r="U62" s="4" t="n">
        <v>10481.66</v>
      </c>
      <c r="V62" s="3" t="str">
        <f aca="false">IF(N62&lt;=0,"Yes","No")</f>
        <v>No</v>
      </c>
      <c r="W62" s="3" t="n">
        <v>773</v>
      </c>
      <c r="X62" s="3" t="n">
        <v>785</v>
      </c>
      <c r="Y62" s="5" t="n">
        <f aca="false">IFERROR(1-ABS(W62-X62)/X62,0)</f>
        <v>0.984713375796178</v>
      </c>
      <c r="Z62" s="6" t="n">
        <f aca="false">IFERROR(M62/((K62+N62)/2),0)</f>
        <v>2.06299212598425</v>
      </c>
    </row>
    <row r="63" customFormat="false" ht="15" hidden="false" customHeight="false" outlineLevel="0" collapsed="false">
      <c r="A63" s="2" t="n">
        <v>45561</v>
      </c>
      <c r="B63" s="3" t="s">
        <v>91</v>
      </c>
      <c r="C63" s="3" t="s">
        <v>82</v>
      </c>
      <c r="D63" s="3" t="n">
        <v>2024</v>
      </c>
      <c r="E63" s="3" t="s">
        <v>28</v>
      </c>
      <c r="F63" s="3" t="s">
        <v>29</v>
      </c>
      <c r="G63" s="3" t="s">
        <v>30</v>
      </c>
      <c r="H63" s="3" t="s">
        <v>85</v>
      </c>
      <c r="I63" s="3" t="s">
        <v>41</v>
      </c>
      <c r="J63" s="3" t="s">
        <v>33</v>
      </c>
      <c r="K63" s="3" t="n">
        <v>260</v>
      </c>
      <c r="L63" s="3" t="n">
        <v>149</v>
      </c>
      <c r="M63" s="3" t="n">
        <v>299</v>
      </c>
      <c r="N63" s="3" t="n">
        <f aca="false">K63+L63-M63</f>
        <v>110</v>
      </c>
      <c r="O63" s="3" t="n">
        <v>281</v>
      </c>
      <c r="P63" s="3" t="str">
        <f aca="false">IF(N63&lt;=O63,"Reorder Needed","Sufficient")</f>
        <v>Reorder Needed</v>
      </c>
      <c r="Q63" s="3" t="n">
        <v>21</v>
      </c>
      <c r="R63" s="3" t="n">
        <v>517</v>
      </c>
      <c r="S63" s="3" t="str">
        <f aca="false">IF(T63&gt;Q63,"Delayed","On Time")</f>
        <v>Delayed</v>
      </c>
      <c r="T63" s="3" t="n">
        <v>26</v>
      </c>
      <c r="U63" s="4" t="n">
        <v>10042.43</v>
      </c>
      <c r="V63" s="3" t="str">
        <f aca="false">IF(N63&lt;=0,"Yes","No")</f>
        <v>No</v>
      </c>
      <c r="W63" s="3" t="n">
        <v>906</v>
      </c>
      <c r="X63" s="3" t="n">
        <v>876</v>
      </c>
      <c r="Y63" s="5" t="n">
        <f aca="false">IFERROR(1-ABS(W63-X63)/X63,0)</f>
        <v>0.965753424657534</v>
      </c>
      <c r="Z63" s="6" t="n">
        <f aca="false">IFERROR(M63/((K63+N63)/2),0)</f>
        <v>1.61621621621622</v>
      </c>
    </row>
    <row r="64" customFormat="false" ht="15" hidden="false" customHeight="false" outlineLevel="0" collapsed="false">
      <c r="A64" s="2" t="n">
        <v>45565</v>
      </c>
      <c r="B64" s="3" t="s">
        <v>91</v>
      </c>
      <c r="C64" s="3" t="s">
        <v>82</v>
      </c>
      <c r="D64" s="3" t="n">
        <v>2024</v>
      </c>
      <c r="E64" s="3" t="s">
        <v>77</v>
      </c>
      <c r="F64" s="3" t="s">
        <v>78</v>
      </c>
      <c r="G64" s="3" t="s">
        <v>44</v>
      </c>
      <c r="H64" s="3" t="s">
        <v>40</v>
      </c>
      <c r="I64" s="3" t="s">
        <v>45</v>
      </c>
      <c r="J64" s="3" t="s">
        <v>46</v>
      </c>
      <c r="K64" s="3" t="n">
        <v>866</v>
      </c>
      <c r="L64" s="3" t="n">
        <v>197</v>
      </c>
      <c r="M64" s="3" t="n">
        <v>527</v>
      </c>
      <c r="N64" s="3" t="n">
        <f aca="false">K64+L64-M64</f>
        <v>536</v>
      </c>
      <c r="O64" s="3" t="n">
        <v>273</v>
      </c>
      <c r="P64" s="3" t="str">
        <f aca="false">IF(N64&lt;=O64,"Reorder Needed","Sufficient")</f>
        <v>Sufficient</v>
      </c>
      <c r="Q64" s="3" t="n">
        <v>4</v>
      </c>
      <c r="R64" s="3" t="n">
        <v>729</v>
      </c>
      <c r="S64" s="3" t="str">
        <f aca="false">IF(T64&gt;Q64,"Delayed","On Time")</f>
        <v>Delayed</v>
      </c>
      <c r="T64" s="3" t="n">
        <v>5</v>
      </c>
      <c r="U64" s="4" t="n">
        <v>2263.42</v>
      </c>
      <c r="V64" s="3" t="str">
        <f aca="false">IF(N64&lt;=0,"Yes","No")</f>
        <v>No</v>
      </c>
      <c r="W64" s="3" t="n">
        <v>475</v>
      </c>
      <c r="X64" s="3" t="n">
        <v>408</v>
      </c>
      <c r="Y64" s="5" t="n">
        <f aca="false">IFERROR(1-ABS(W64-X64)/X64,0)</f>
        <v>0.83578431372549</v>
      </c>
      <c r="Z64" s="6" t="n">
        <f aca="false">IFERROR(M64/((K64+N64)/2),0)</f>
        <v>0.751783166904422</v>
      </c>
    </row>
    <row r="65" customFormat="false" ht="15" hidden="false" customHeight="false" outlineLevel="0" collapsed="false">
      <c r="A65" s="2" t="n">
        <v>45596</v>
      </c>
      <c r="B65" s="3" t="s">
        <v>92</v>
      </c>
      <c r="C65" s="3" t="s">
        <v>93</v>
      </c>
      <c r="D65" s="3" t="n">
        <v>2024</v>
      </c>
      <c r="E65" s="3" t="s">
        <v>53</v>
      </c>
      <c r="F65" s="3" t="s">
        <v>54</v>
      </c>
      <c r="G65" s="3" t="s">
        <v>36</v>
      </c>
      <c r="H65" s="3" t="s">
        <v>37</v>
      </c>
      <c r="I65" s="3" t="s">
        <v>45</v>
      </c>
      <c r="J65" s="3" t="s">
        <v>46</v>
      </c>
      <c r="K65" s="3" t="n">
        <v>232</v>
      </c>
      <c r="L65" s="3" t="n">
        <v>635</v>
      </c>
      <c r="M65" s="3" t="n">
        <v>642</v>
      </c>
      <c r="N65" s="3" t="n">
        <f aca="false">K65+L65-M65</f>
        <v>225</v>
      </c>
      <c r="O65" s="3" t="n">
        <v>375</v>
      </c>
      <c r="P65" s="3" t="str">
        <f aca="false">IF(N65&lt;=O65,"Reorder Needed","Sufficient")</f>
        <v>Reorder Needed</v>
      </c>
      <c r="Q65" s="3" t="n">
        <v>6</v>
      </c>
      <c r="R65" s="3" t="n">
        <v>343</v>
      </c>
      <c r="S65" s="3" t="str">
        <f aca="false">IF(T65&gt;Q65,"Delayed","On Time")</f>
        <v>Delayed</v>
      </c>
      <c r="T65" s="3" t="n">
        <v>8</v>
      </c>
      <c r="U65" s="4" t="n">
        <v>4768.5</v>
      </c>
      <c r="V65" s="3" t="str">
        <f aca="false">IF(N65&lt;=0,"Yes","No")</f>
        <v>No</v>
      </c>
      <c r="W65" s="3" t="n">
        <v>390</v>
      </c>
      <c r="X65" s="3" t="n">
        <v>290</v>
      </c>
      <c r="Y65" s="5" t="n">
        <f aca="false">IFERROR(1-ABS(W65-X65)/X65,0)</f>
        <v>0.655172413793103</v>
      </c>
      <c r="Z65" s="6" t="n">
        <f aca="false">IFERROR(M65/((K65+N65)/2),0)</f>
        <v>2.80962800875274</v>
      </c>
    </row>
    <row r="66" customFormat="false" ht="15" hidden="false" customHeight="false" outlineLevel="0" collapsed="false">
      <c r="A66" s="2" t="n">
        <v>45596</v>
      </c>
      <c r="B66" s="3" t="s">
        <v>92</v>
      </c>
      <c r="C66" s="3" t="s">
        <v>93</v>
      </c>
      <c r="D66" s="3" t="n">
        <v>2024</v>
      </c>
      <c r="E66" s="3" t="s">
        <v>47</v>
      </c>
      <c r="F66" s="3" t="s">
        <v>48</v>
      </c>
      <c r="G66" s="3" t="s">
        <v>44</v>
      </c>
      <c r="H66" s="3" t="s">
        <v>31</v>
      </c>
      <c r="I66" s="3" t="s">
        <v>32</v>
      </c>
      <c r="J66" s="3" t="s">
        <v>33</v>
      </c>
      <c r="K66" s="3" t="n">
        <v>614</v>
      </c>
      <c r="L66" s="3" t="n">
        <v>432</v>
      </c>
      <c r="M66" s="3" t="n">
        <v>988</v>
      </c>
      <c r="N66" s="3" t="n">
        <f aca="false">K66+L66-M66</f>
        <v>58</v>
      </c>
      <c r="O66" s="3" t="n">
        <v>342</v>
      </c>
      <c r="P66" s="3" t="str">
        <f aca="false">IF(N66&lt;=O66,"Reorder Needed","Sufficient")</f>
        <v>Reorder Needed</v>
      </c>
      <c r="Q66" s="3" t="n">
        <v>20</v>
      </c>
      <c r="R66" s="3" t="n">
        <v>141</v>
      </c>
      <c r="S66" s="3" t="str">
        <f aca="false">IF(T66&gt;Q66,"Delayed","On Time")</f>
        <v>Delayed</v>
      </c>
      <c r="T66" s="3" t="n">
        <v>21</v>
      </c>
      <c r="U66" s="4" t="n">
        <v>2269.33</v>
      </c>
      <c r="V66" s="3" t="str">
        <f aca="false">IF(N66&lt;=0,"Yes","No")</f>
        <v>No</v>
      </c>
      <c r="W66" s="3" t="n">
        <v>836</v>
      </c>
      <c r="X66" s="3" t="n">
        <v>1042</v>
      </c>
      <c r="Y66" s="5" t="n">
        <f aca="false">IFERROR(1-ABS(W66-X66)/X66,0)</f>
        <v>0.802303262955854</v>
      </c>
      <c r="Z66" s="6" t="n">
        <f aca="false">IFERROR(M66/((K66+N66)/2),0)</f>
        <v>2.94047619047619</v>
      </c>
    </row>
    <row r="67" customFormat="false" ht="15" hidden="false" customHeight="false" outlineLevel="0" collapsed="false">
      <c r="A67" s="2" t="n">
        <v>45601</v>
      </c>
      <c r="B67" s="3" t="s">
        <v>94</v>
      </c>
      <c r="C67" s="3" t="s">
        <v>93</v>
      </c>
      <c r="D67" s="3" t="n">
        <v>2024</v>
      </c>
      <c r="E67" s="3" t="s">
        <v>77</v>
      </c>
      <c r="F67" s="3" t="s">
        <v>78</v>
      </c>
      <c r="G67" s="3" t="s">
        <v>44</v>
      </c>
      <c r="H67" s="3" t="s">
        <v>65</v>
      </c>
      <c r="I67" s="3" t="s">
        <v>55</v>
      </c>
      <c r="J67" s="3" t="s">
        <v>56</v>
      </c>
      <c r="K67" s="3" t="n">
        <v>1035</v>
      </c>
      <c r="L67" s="3" t="n">
        <v>692</v>
      </c>
      <c r="M67" s="3" t="n">
        <v>1137</v>
      </c>
      <c r="N67" s="3" t="n">
        <f aca="false">K67+L67-M67</f>
        <v>590</v>
      </c>
      <c r="O67" s="3" t="n">
        <v>299</v>
      </c>
      <c r="P67" s="3" t="str">
        <f aca="false">IF(N67&lt;=O67,"Reorder Needed","Sufficient")</f>
        <v>Sufficient</v>
      </c>
      <c r="Q67" s="3" t="n">
        <v>17</v>
      </c>
      <c r="R67" s="3" t="n">
        <v>437</v>
      </c>
      <c r="S67" s="3" t="str">
        <f aca="false">IF(T67&gt;Q67,"Delayed","On Time")</f>
        <v>Delayed</v>
      </c>
      <c r="T67" s="3" t="n">
        <v>19</v>
      </c>
      <c r="U67" s="4" t="n">
        <v>14934.59</v>
      </c>
      <c r="V67" s="3" t="str">
        <f aca="false">IF(N67&lt;=0,"Yes","No")</f>
        <v>No</v>
      </c>
      <c r="W67" s="3" t="n">
        <v>1371</v>
      </c>
      <c r="X67" s="3" t="n">
        <v>1616</v>
      </c>
      <c r="Y67" s="5" t="n">
        <f aca="false">IFERROR(1-ABS(W67-X67)/X67,0)</f>
        <v>0.848391089108911</v>
      </c>
      <c r="Z67" s="6" t="n">
        <f aca="false">IFERROR(M67/((K67+N67)/2),0)</f>
        <v>1.39938461538462</v>
      </c>
    </row>
    <row r="68" customFormat="false" ht="15" hidden="false" customHeight="false" outlineLevel="0" collapsed="false">
      <c r="A68" s="2" t="n">
        <v>45602</v>
      </c>
      <c r="B68" s="3" t="s">
        <v>94</v>
      </c>
      <c r="C68" s="3" t="s">
        <v>93</v>
      </c>
      <c r="D68" s="3" t="n">
        <v>2024</v>
      </c>
      <c r="E68" s="3" t="s">
        <v>47</v>
      </c>
      <c r="F68" s="3" t="s">
        <v>48</v>
      </c>
      <c r="G68" s="3" t="s">
        <v>44</v>
      </c>
      <c r="H68" s="3" t="s">
        <v>31</v>
      </c>
      <c r="I68" s="3" t="s">
        <v>45</v>
      </c>
      <c r="J68" s="3" t="s">
        <v>46</v>
      </c>
      <c r="K68" s="3" t="n">
        <v>106</v>
      </c>
      <c r="L68" s="3" t="n">
        <v>84</v>
      </c>
      <c r="M68" s="3" t="n">
        <v>174</v>
      </c>
      <c r="N68" s="3" t="n">
        <f aca="false">K68+L68-M68</f>
        <v>16</v>
      </c>
      <c r="O68" s="3" t="n">
        <v>378</v>
      </c>
      <c r="P68" s="3" t="str">
        <f aca="false">IF(N68&lt;=O68,"Reorder Needed","Sufficient")</f>
        <v>Reorder Needed</v>
      </c>
      <c r="Q68" s="3" t="n">
        <v>10</v>
      </c>
      <c r="R68" s="3" t="n">
        <v>605</v>
      </c>
      <c r="S68" s="3" t="str">
        <f aca="false">IF(T68&gt;Q68,"Delayed","On Time")</f>
        <v>Delayed</v>
      </c>
      <c r="T68" s="3" t="n">
        <v>13</v>
      </c>
      <c r="U68" s="4" t="n">
        <v>9721.14</v>
      </c>
      <c r="V68" s="3" t="str">
        <f aca="false">IF(N68&lt;=0,"Yes","No")</f>
        <v>No</v>
      </c>
      <c r="W68" s="3" t="n">
        <v>1587</v>
      </c>
      <c r="X68" s="3" t="n">
        <v>1883</v>
      </c>
      <c r="Y68" s="5" t="n">
        <f aca="false">IFERROR(1-ABS(W68-X68)/X68,0)</f>
        <v>0.842804036112586</v>
      </c>
      <c r="Z68" s="6" t="n">
        <f aca="false">IFERROR(M68/((K68+N68)/2),0)</f>
        <v>2.85245901639344</v>
      </c>
    </row>
    <row r="69" customFormat="false" ht="15" hidden="false" customHeight="false" outlineLevel="0" collapsed="false">
      <c r="A69" s="2" t="n">
        <v>45614</v>
      </c>
      <c r="B69" s="3" t="s">
        <v>94</v>
      </c>
      <c r="C69" s="3" t="s">
        <v>93</v>
      </c>
      <c r="D69" s="3" t="n">
        <v>2024</v>
      </c>
      <c r="E69" s="3" t="s">
        <v>75</v>
      </c>
      <c r="F69" s="3" t="s">
        <v>76</v>
      </c>
      <c r="G69" s="3" t="s">
        <v>36</v>
      </c>
      <c r="H69" s="3" t="s">
        <v>61</v>
      </c>
      <c r="I69" s="3" t="s">
        <v>38</v>
      </c>
      <c r="J69" s="3" t="s">
        <v>39</v>
      </c>
      <c r="K69" s="3" t="n">
        <v>948</v>
      </c>
      <c r="L69" s="3" t="n">
        <v>41</v>
      </c>
      <c r="M69" s="3" t="n">
        <v>297</v>
      </c>
      <c r="N69" s="3" t="n">
        <f aca="false">K69+L69-M69</f>
        <v>692</v>
      </c>
      <c r="O69" s="3" t="n">
        <v>281</v>
      </c>
      <c r="P69" s="3" t="str">
        <f aca="false">IF(N69&lt;=O69,"Reorder Needed","Sufficient")</f>
        <v>Sufficient</v>
      </c>
      <c r="Q69" s="3" t="n">
        <v>17</v>
      </c>
      <c r="R69" s="3" t="n">
        <v>656</v>
      </c>
      <c r="S69" s="3" t="str">
        <f aca="false">IF(T69&gt;Q69,"Delayed","On Time")</f>
        <v>Delayed</v>
      </c>
      <c r="T69" s="3" t="n">
        <v>23</v>
      </c>
      <c r="U69" s="4" t="n">
        <v>1227.01</v>
      </c>
      <c r="V69" s="3" t="str">
        <f aca="false">IF(N69&lt;=0,"Yes","No")</f>
        <v>No</v>
      </c>
      <c r="W69" s="3" t="n">
        <v>575</v>
      </c>
      <c r="X69" s="3" t="n">
        <v>444</v>
      </c>
      <c r="Y69" s="5" t="n">
        <f aca="false">IFERROR(1-ABS(W69-X69)/X69,0)</f>
        <v>0.704954954954955</v>
      </c>
      <c r="Z69" s="6" t="n">
        <f aca="false">IFERROR(M69/((K69+N69)/2),0)</f>
        <v>0.36219512195122</v>
      </c>
    </row>
    <row r="70" customFormat="false" ht="15" hidden="false" customHeight="false" outlineLevel="0" collapsed="false">
      <c r="A70" s="2" t="n">
        <v>45623</v>
      </c>
      <c r="B70" s="3" t="s">
        <v>94</v>
      </c>
      <c r="C70" s="3" t="s">
        <v>93</v>
      </c>
      <c r="D70" s="3" t="n">
        <v>2024</v>
      </c>
      <c r="E70" s="3" t="s">
        <v>87</v>
      </c>
      <c r="F70" s="3" t="s">
        <v>88</v>
      </c>
      <c r="G70" s="3" t="s">
        <v>64</v>
      </c>
      <c r="H70" s="3" t="s">
        <v>61</v>
      </c>
      <c r="I70" s="3" t="s">
        <v>41</v>
      </c>
      <c r="J70" s="3" t="s">
        <v>33</v>
      </c>
      <c r="K70" s="3" t="n">
        <v>1097</v>
      </c>
      <c r="L70" s="3" t="n">
        <v>202</v>
      </c>
      <c r="M70" s="3" t="n">
        <v>846</v>
      </c>
      <c r="N70" s="3" t="n">
        <f aca="false">K70+L70-M70</f>
        <v>453</v>
      </c>
      <c r="O70" s="3" t="n">
        <v>392</v>
      </c>
      <c r="P70" s="3" t="str">
        <f aca="false">IF(N70&lt;=O70,"Reorder Needed","Sufficient")</f>
        <v>Sufficient</v>
      </c>
      <c r="Q70" s="3" t="n">
        <v>20</v>
      </c>
      <c r="R70" s="3" t="n">
        <v>294</v>
      </c>
      <c r="S70" s="3" t="str">
        <f aca="false">IF(T70&gt;Q70,"Delayed","On Time")</f>
        <v>On Time</v>
      </c>
      <c r="T70" s="3" t="n">
        <v>18</v>
      </c>
      <c r="U70" s="4" t="n">
        <v>2849.24</v>
      </c>
      <c r="V70" s="3" t="str">
        <f aca="false">IF(N70&lt;=0,"Yes","No")</f>
        <v>No</v>
      </c>
      <c r="W70" s="3" t="n">
        <v>1007</v>
      </c>
      <c r="X70" s="3" t="n">
        <v>908</v>
      </c>
      <c r="Y70" s="5" t="n">
        <f aca="false">IFERROR(1-ABS(W70-X70)/X70,0)</f>
        <v>0.890969162995595</v>
      </c>
      <c r="Z70" s="6" t="n">
        <f aca="false">IFERROR(M70/((K70+N70)/2),0)</f>
        <v>1.09161290322581</v>
      </c>
    </row>
    <row r="71" customFormat="false" ht="15" hidden="false" customHeight="false" outlineLevel="0" collapsed="false">
      <c r="A71" s="2" t="n">
        <v>45624</v>
      </c>
      <c r="B71" s="3" t="s">
        <v>94</v>
      </c>
      <c r="C71" s="3" t="s">
        <v>93</v>
      </c>
      <c r="D71" s="3" t="n">
        <v>2024</v>
      </c>
      <c r="E71" s="3" t="s">
        <v>49</v>
      </c>
      <c r="F71" s="3" t="s">
        <v>50</v>
      </c>
      <c r="G71" s="3" t="s">
        <v>30</v>
      </c>
      <c r="H71" s="3" t="s">
        <v>40</v>
      </c>
      <c r="I71" s="3" t="s">
        <v>55</v>
      </c>
      <c r="J71" s="3" t="s">
        <v>56</v>
      </c>
      <c r="K71" s="3" t="n">
        <v>141</v>
      </c>
      <c r="L71" s="3" t="n">
        <v>557</v>
      </c>
      <c r="M71" s="3" t="n">
        <v>220</v>
      </c>
      <c r="N71" s="3" t="n">
        <f aca="false">K71+L71-M71</f>
        <v>478</v>
      </c>
      <c r="O71" s="3" t="n">
        <v>123</v>
      </c>
      <c r="P71" s="3" t="str">
        <f aca="false">IF(N71&lt;=O71,"Reorder Needed","Sufficient")</f>
        <v>Sufficient</v>
      </c>
      <c r="Q71" s="3" t="n">
        <v>20</v>
      </c>
      <c r="R71" s="3" t="n">
        <v>133</v>
      </c>
      <c r="S71" s="3" t="str">
        <f aca="false">IF(T71&gt;Q71,"Delayed","On Time")</f>
        <v>Delayed</v>
      </c>
      <c r="T71" s="3" t="n">
        <v>24</v>
      </c>
      <c r="U71" s="4" t="n">
        <v>13983.56</v>
      </c>
      <c r="V71" s="3" t="str">
        <f aca="false">IF(N71&lt;=0,"Yes","No")</f>
        <v>No</v>
      </c>
      <c r="W71" s="3" t="n">
        <v>1571</v>
      </c>
      <c r="X71" s="3" t="n">
        <v>1315</v>
      </c>
      <c r="Y71" s="5" t="n">
        <f aca="false">IFERROR(1-ABS(W71-X71)/X71,0)</f>
        <v>0.80532319391635</v>
      </c>
      <c r="Z71" s="6" t="n">
        <f aca="false">IFERROR(M71/((K71+N71)/2),0)</f>
        <v>0.710823909531502</v>
      </c>
    </row>
    <row r="72" customFormat="false" ht="15" hidden="false" customHeight="false" outlineLevel="0" collapsed="false">
      <c r="A72" s="2" t="n">
        <v>45630</v>
      </c>
      <c r="B72" s="3" t="s">
        <v>95</v>
      </c>
      <c r="C72" s="3" t="s">
        <v>93</v>
      </c>
      <c r="D72" s="3" t="n">
        <v>2024</v>
      </c>
      <c r="E72" s="3" t="s">
        <v>42</v>
      </c>
      <c r="F72" s="3" t="s">
        <v>43</v>
      </c>
      <c r="G72" s="3" t="s">
        <v>44</v>
      </c>
      <c r="H72" s="3" t="s">
        <v>61</v>
      </c>
      <c r="I72" s="3" t="s">
        <v>38</v>
      </c>
      <c r="J72" s="3" t="s">
        <v>39</v>
      </c>
      <c r="K72" s="3" t="n">
        <v>1285</v>
      </c>
      <c r="L72" s="3" t="n">
        <v>332</v>
      </c>
      <c r="M72" s="3" t="n">
        <v>203</v>
      </c>
      <c r="N72" s="3" t="n">
        <f aca="false">K72+L72-M72</f>
        <v>1414</v>
      </c>
      <c r="O72" s="3" t="n">
        <v>330</v>
      </c>
      <c r="P72" s="3" t="str">
        <f aca="false">IF(N72&lt;=O72,"Reorder Needed","Sufficient")</f>
        <v>Sufficient</v>
      </c>
      <c r="Q72" s="3" t="n">
        <v>16</v>
      </c>
      <c r="R72" s="3" t="n">
        <v>94</v>
      </c>
      <c r="S72" s="3" t="str">
        <f aca="false">IF(T72&gt;Q72,"Delayed","On Time")</f>
        <v>Delayed</v>
      </c>
      <c r="T72" s="3" t="n">
        <v>20</v>
      </c>
      <c r="U72" s="4" t="n">
        <v>5807.87</v>
      </c>
      <c r="V72" s="3" t="str">
        <f aca="false">IF(N72&lt;=0,"Yes","No")</f>
        <v>No</v>
      </c>
      <c r="W72" s="3" t="n">
        <v>288</v>
      </c>
      <c r="X72" s="3" t="n">
        <v>303</v>
      </c>
      <c r="Y72" s="5" t="n">
        <f aca="false">IFERROR(1-ABS(W72-X72)/X72,0)</f>
        <v>0.950495049504951</v>
      </c>
      <c r="Z72" s="6" t="n">
        <f aca="false">IFERROR(M72/((K72+N72)/2),0)</f>
        <v>0.150426083734717</v>
      </c>
    </row>
    <row r="73" customFormat="false" ht="15" hidden="false" customHeight="false" outlineLevel="0" collapsed="false">
      <c r="A73" s="2" t="n">
        <v>45632</v>
      </c>
      <c r="B73" s="3" t="s">
        <v>95</v>
      </c>
      <c r="C73" s="3" t="s">
        <v>93</v>
      </c>
      <c r="D73" s="3" t="n">
        <v>2024</v>
      </c>
      <c r="E73" s="3" t="s">
        <v>72</v>
      </c>
      <c r="F73" s="3" t="s">
        <v>73</v>
      </c>
      <c r="G73" s="3" t="s">
        <v>30</v>
      </c>
      <c r="H73" s="3" t="s">
        <v>40</v>
      </c>
      <c r="I73" s="3" t="s">
        <v>38</v>
      </c>
      <c r="J73" s="3" t="s">
        <v>39</v>
      </c>
      <c r="K73" s="3" t="n">
        <v>246</v>
      </c>
      <c r="L73" s="3" t="n">
        <v>776</v>
      </c>
      <c r="M73" s="3" t="n">
        <v>802</v>
      </c>
      <c r="N73" s="3" t="n">
        <f aca="false">K73+L73-M73</f>
        <v>220</v>
      </c>
      <c r="O73" s="3" t="n">
        <v>270</v>
      </c>
      <c r="P73" s="3" t="str">
        <f aca="false">IF(N73&lt;=O73,"Reorder Needed","Sufficient")</f>
        <v>Reorder Needed</v>
      </c>
      <c r="Q73" s="3" t="n">
        <v>3</v>
      </c>
      <c r="R73" s="3" t="n">
        <v>883</v>
      </c>
      <c r="S73" s="3" t="str">
        <f aca="false">IF(T73&gt;Q73,"Delayed","On Time")</f>
        <v>On Time</v>
      </c>
      <c r="T73" s="3" t="n">
        <v>3</v>
      </c>
      <c r="U73" s="4" t="n">
        <v>5984.27</v>
      </c>
      <c r="V73" s="3" t="str">
        <f aca="false">IF(N73&lt;=0,"Yes","No")</f>
        <v>No</v>
      </c>
      <c r="W73" s="3" t="n">
        <v>609</v>
      </c>
      <c r="X73" s="3" t="n">
        <v>762</v>
      </c>
      <c r="Y73" s="5" t="n">
        <f aca="false">IFERROR(1-ABS(W73-X73)/X73,0)</f>
        <v>0.799212598425197</v>
      </c>
      <c r="Z73" s="6" t="n">
        <f aca="false">IFERROR(M73/((K73+N73)/2),0)</f>
        <v>3.44206008583691</v>
      </c>
    </row>
    <row r="74" customFormat="false" ht="15" hidden="false" customHeight="false" outlineLevel="0" collapsed="false">
      <c r="A74" s="2" t="n">
        <v>45633</v>
      </c>
      <c r="B74" s="3" t="s">
        <v>95</v>
      </c>
      <c r="C74" s="3" t="s">
        <v>93</v>
      </c>
      <c r="D74" s="3" t="n">
        <v>2024</v>
      </c>
      <c r="E74" s="3" t="s">
        <v>58</v>
      </c>
      <c r="F74" s="3" t="s">
        <v>59</v>
      </c>
      <c r="G74" s="3" t="s">
        <v>60</v>
      </c>
      <c r="H74" s="3" t="s">
        <v>40</v>
      </c>
      <c r="I74" s="3" t="s">
        <v>32</v>
      </c>
      <c r="J74" s="3" t="s">
        <v>33</v>
      </c>
      <c r="K74" s="3" t="n">
        <v>623</v>
      </c>
      <c r="L74" s="3" t="n">
        <v>695</v>
      </c>
      <c r="M74" s="3" t="n">
        <v>985</v>
      </c>
      <c r="N74" s="3" t="n">
        <f aca="false">K74+L74-M74</f>
        <v>333</v>
      </c>
      <c r="O74" s="3" t="n">
        <v>202</v>
      </c>
      <c r="P74" s="3" t="str">
        <f aca="false">IF(N74&lt;=O74,"Reorder Needed","Sufficient")</f>
        <v>Sufficient</v>
      </c>
      <c r="Q74" s="3" t="n">
        <v>16</v>
      </c>
      <c r="R74" s="3" t="n">
        <v>285</v>
      </c>
      <c r="S74" s="3" t="str">
        <f aca="false">IF(T74&gt;Q74,"Delayed","On Time")</f>
        <v>Delayed</v>
      </c>
      <c r="T74" s="3" t="n">
        <v>20</v>
      </c>
      <c r="U74" s="4" t="n">
        <v>14130.53</v>
      </c>
      <c r="V74" s="3" t="str">
        <f aca="false">IF(N74&lt;=0,"Yes","No")</f>
        <v>No</v>
      </c>
      <c r="W74" s="3" t="n">
        <v>1127</v>
      </c>
      <c r="X74" s="3" t="n">
        <v>1288</v>
      </c>
      <c r="Y74" s="5" t="n">
        <f aca="false">IFERROR(1-ABS(W74-X74)/X74,0)</f>
        <v>0.875</v>
      </c>
      <c r="Z74" s="6" t="n">
        <f aca="false">IFERROR(M74/((K74+N74)/2),0)</f>
        <v>2.06066945606695</v>
      </c>
    </row>
    <row r="75" customFormat="false" ht="15" hidden="false" customHeight="false" outlineLevel="0" collapsed="false">
      <c r="A75" s="2" t="n">
        <v>45634</v>
      </c>
      <c r="B75" s="3" t="s">
        <v>95</v>
      </c>
      <c r="C75" s="3" t="s">
        <v>93</v>
      </c>
      <c r="D75" s="3" t="n">
        <v>2024</v>
      </c>
      <c r="E75" s="3" t="s">
        <v>42</v>
      </c>
      <c r="F75" s="3" t="s">
        <v>43</v>
      </c>
      <c r="G75" s="3" t="s">
        <v>44</v>
      </c>
      <c r="H75" s="3" t="s">
        <v>61</v>
      </c>
      <c r="I75" s="3" t="s">
        <v>38</v>
      </c>
      <c r="J75" s="3" t="s">
        <v>39</v>
      </c>
      <c r="K75" s="3" t="n">
        <v>680</v>
      </c>
      <c r="L75" s="3" t="n">
        <v>162</v>
      </c>
      <c r="M75" s="3" t="n">
        <v>111</v>
      </c>
      <c r="N75" s="3" t="n">
        <f aca="false">K75+L75-M75</f>
        <v>731</v>
      </c>
      <c r="O75" s="3" t="n">
        <v>239</v>
      </c>
      <c r="P75" s="3" t="str">
        <f aca="false">IF(N75&lt;=O75,"Reorder Needed","Sufficient")</f>
        <v>Sufficient</v>
      </c>
      <c r="Q75" s="3" t="n">
        <v>12</v>
      </c>
      <c r="R75" s="3" t="n">
        <v>672</v>
      </c>
      <c r="S75" s="3" t="str">
        <f aca="false">IF(T75&gt;Q75,"Delayed","On Time")</f>
        <v>Delayed</v>
      </c>
      <c r="T75" s="3" t="n">
        <v>14</v>
      </c>
      <c r="U75" s="4" t="n">
        <v>7642.02</v>
      </c>
      <c r="V75" s="3" t="str">
        <f aca="false">IF(N75&lt;=0,"Yes","No")</f>
        <v>No</v>
      </c>
      <c r="W75" s="3" t="n">
        <v>166</v>
      </c>
      <c r="X75" s="3" t="n">
        <v>133</v>
      </c>
      <c r="Y75" s="5" t="n">
        <f aca="false">IFERROR(1-ABS(W75-X75)/X75,0)</f>
        <v>0.75187969924812</v>
      </c>
      <c r="Z75" s="6" t="n">
        <f aca="false">IFERROR(M75/((K75+N75)/2),0)</f>
        <v>0.157335223245925</v>
      </c>
    </row>
    <row r="76" customFormat="false" ht="15" hidden="false" customHeight="false" outlineLevel="0" collapsed="false">
      <c r="A76" s="2" t="n">
        <v>45634</v>
      </c>
      <c r="B76" s="3" t="s">
        <v>95</v>
      </c>
      <c r="C76" s="3" t="s">
        <v>93</v>
      </c>
      <c r="D76" s="3" t="n">
        <v>2024</v>
      </c>
      <c r="E76" s="3" t="s">
        <v>53</v>
      </c>
      <c r="F76" s="3" t="s">
        <v>54</v>
      </c>
      <c r="G76" s="3" t="s">
        <v>36</v>
      </c>
      <c r="H76" s="3" t="s">
        <v>61</v>
      </c>
      <c r="I76" s="3" t="s">
        <v>45</v>
      </c>
      <c r="J76" s="3" t="s">
        <v>46</v>
      </c>
      <c r="K76" s="3" t="n">
        <v>219</v>
      </c>
      <c r="L76" s="3" t="n">
        <v>673</v>
      </c>
      <c r="M76" s="3" t="n">
        <v>6</v>
      </c>
      <c r="N76" s="3" t="n">
        <f aca="false">K76+L76-M76</f>
        <v>886</v>
      </c>
      <c r="O76" s="3" t="n">
        <v>236</v>
      </c>
      <c r="P76" s="3" t="str">
        <f aca="false">IF(N76&lt;=O76,"Reorder Needed","Sufficient")</f>
        <v>Sufficient</v>
      </c>
      <c r="Q76" s="3" t="n">
        <v>21</v>
      </c>
      <c r="R76" s="3" t="n">
        <v>146</v>
      </c>
      <c r="S76" s="3" t="str">
        <f aca="false">IF(T76&gt;Q76,"Delayed","On Time")</f>
        <v>Delayed</v>
      </c>
      <c r="T76" s="3" t="n">
        <v>25</v>
      </c>
      <c r="U76" s="4" t="n">
        <v>10111.01</v>
      </c>
      <c r="V76" s="3" t="str">
        <f aca="false">IF(N76&lt;=0,"Yes","No")</f>
        <v>No</v>
      </c>
      <c r="W76" s="3" t="n">
        <v>496</v>
      </c>
      <c r="X76" s="3" t="n">
        <v>358</v>
      </c>
      <c r="Y76" s="5" t="n">
        <f aca="false">IFERROR(1-ABS(W76-X76)/X76,0)</f>
        <v>0.614525139664805</v>
      </c>
      <c r="Z76" s="6" t="n">
        <f aca="false">IFERROR(M76/((K76+N76)/2),0)</f>
        <v>0.0108597285067873</v>
      </c>
    </row>
    <row r="77" customFormat="false" ht="15" hidden="false" customHeight="false" outlineLevel="0" collapsed="false">
      <c r="A77" s="2" t="n">
        <v>45641</v>
      </c>
      <c r="B77" s="3" t="s">
        <v>95</v>
      </c>
      <c r="C77" s="3" t="s">
        <v>93</v>
      </c>
      <c r="D77" s="3" t="n">
        <v>2024</v>
      </c>
      <c r="E77" s="3" t="s">
        <v>89</v>
      </c>
      <c r="F77" s="3" t="s">
        <v>90</v>
      </c>
      <c r="G77" s="3" t="s">
        <v>36</v>
      </c>
      <c r="H77" s="3" t="s">
        <v>61</v>
      </c>
      <c r="I77" s="3" t="s">
        <v>32</v>
      </c>
      <c r="J77" s="3" t="s">
        <v>33</v>
      </c>
      <c r="K77" s="3" t="n">
        <v>252</v>
      </c>
      <c r="L77" s="3" t="n">
        <v>360</v>
      </c>
      <c r="M77" s="3" t="n">
        <v>133</v>
      </c>
      <c r="N77" s="3" t="n">
        <f aca="false">K77+L77-M77</f>
        <v>479</v>
      </c>
      <c r="O77" s="3" t="n">
        <v>64</v>
      </c>
      <c r="P77" s="3" t="str">
        <f aca="false">IF(N77&lt;=O77,"Reorder Needed","Sufficient")</f>
        <v>Sufficient</v>
      </c>
      <c r="Q77" s="3" t="n">
        <v>7</v>
      </c>
      <c r="R77" s="3" t="n">
        <v>655</v>
      </c>
      <c r="S77" s="3" t="str">
        <f aca="false">IF(T77&gt;Q77,"Delayed","On Time")</f>
        <v>On Time</v>
      </c>
      <c r="T77" s="3" t="n">
        <v>5</v>
      </c>
      <c r="U77" s="4" t="n">
        <v>12851.92</v>
      </c>
      <c r="V77" s="3" t="str">
        <f aca="false">IF(N77&lt;=0,"Yes","No")</f>
        <v>No</v>
      </c>
      <c r="W77" s="3" t="n">
        <v>322</v>
      </c>
      <c r="X77" s="3" t="n">
        <v>410</v>
      </c>
      <c r="Y77" s="5" t="n">
        <f aca="false">IFERROR(1-ABS(W77-X77)/X77,0)</f>
        <v>0.785365853658537</v>
      </c>
      <c r="Z77" s="6" t="n">
        <f aca="false">IFERROR(M77/((K77+N77)/2),0)</f>
        <v>0.363885088919289</v>
      </c>
    </row>
    <row r="78" customFormat="false" ht="15" hidden="false" customHeight="false" outlineLevel="0" collapsed="false">
      <c r="A78" s="2" t="n">
        <v>45650</v>
      </c>
      <c r="B78" s="3" t="s">
        <v>95</v>
      </c>
      <c r="C78" s="3" t="s">
        <v>93</v>
      </c>
      <c r="D78" s="3" t="n">
        <v>2024</v>
      </c>
      <c r="E78" s="3" t="s">
        <v>49</v>
      </c>
      <c r="F78" s="3" t="s">
        <v>50</v>
      </c>
      <c r="G78" s="3" t="s">
        <v>30</v>
      </c>
      <c r="H78" s="3" t="s">
        <v>65</v>
      </c>
      <c r="I78" s="3" t="s">
        <v>45</v>
      </c>
      <c r="J78" s="3" t="s">
        <v>46</v>
      </c>
      <c r="K78" s="3" t="n">
        <v>752</v>
      </c>
      <c r="L78" s="3" t="n">
        <v>240</v>
      </c>
      <c r="M78" s="3" t="n">
        <v>318</v>
      </c>
      <c r="N78" s="3" t="n">
        <f aca="false">K78+L78-M78</f>
        <v>674</v>
      </c>
      <c r="O78" s="3" t="n">
        <v>229</v>
      </c>
      <c r="P78" s="3" t="str">
        <f aca="false">IF(N78&lt;=O78,"Reorder Needed","Sufficient")</f>
        <v>Sufficient</v>
      </c>
      <c r="Q78" s="3" t="n">
        <v>18</v>
      </c>
      <c r="R78" s="3" t="n">
        <v>118</v>
      </c>
      <c r="S78" s="3" t="str">
        <f aca="false">IF(T78&gt;Q78,"Delayed","On Time")</f>
        <v>Delayed</v>
      </c>
      <c r="T78" s="3" t="n">
        <v>23</v>
      </c>
      <c r="U78" s="4" t="n">
        <v>11575.99</v>
      </c>
      <c r="V78" s="3" t="str">
        <f aca="false">IF(N78&lt;=0,"Yes","No")</f>
        <v>No</v>
      </c>
      <c r="W78" s="3" t="n">
        <v>532</v>
      </c>
      <c r="X78" s="3" t="n">
        <v>503</v>
      </c>
      <c r="Y78" s="5" t="n">
        <f aca="false">IFERROR(1-ABS(W78-X78)/X78,0)</f>
        <v>0.94234592445328</v>
      </c>
      <c r="Z78" s="6" t="n">
        <f aca="false">IFERROR(M78/((K78+N78)/2),0)</f>
        <v>0.446002805049088</v>
      </c>
    </row>
    <row r="79" customFormat="false" ht="15" hidden="false" customHeight="false" outlineLevel="0" collapsed="false">
      <c r="A79" s="2" t="n">
        <v>45653</v>
      </c>
      <c r="B79" s="3" t="s">
        <v>95</v>
      </c>
      <c r="C79" s="3" t="s">
        <v>93</v>
      </c>
      <c r="D79" s="3" t="n">
        <v>2024</v>
      </c>
      <c r="E79" s="3" t="s">
        <v>58</v>
      </c>
      <c r="F79" s="3" t="s">
        <v>59</v>
      </c>
      <c r="G79" s="3" t="s">
        <v>60</v>
      </c>
      <c r="H79" s="3" t="s">
        <v>65</v>
      </c>
      <c r="I79" s="3" t="s">
        <v>32</v>
      </c>
      <c r="J79" s="3" t="s">
        <v>33</v>
      </c>
      <c r="K79" s="3" t="n">
        <v>541</v>
      </c>
      <c r="L79" s="3" t="n">
        <v>549</v>
      </c>
      <c r="M79" s="3" t="n">
        <v>422</v>
      </c>
      <c r="N79" s="3" t="n">
        <f aca="false">K79+L79-M79</f>
        <v>668</v>
      </c>
      <c r="O79" s="3" t="n">
        <v>191</v>
      </c>
      <c r="P79" s="3" t="str">
        <f aca="false">IF(N79&lt;=O79,"Reorder Needed","Sufficient")</f>
        <v>Sufficient</v>
      </c>
      <c r="Q79" s="3" t="n">
        <v>10</v>
      </c>
      <c r="R79" s="3" t="n">
        <v>463</v>
      </c>
      <c r="S79" s="3" t="str">
        <f aca="false">IF(T79&gt;Q79,"Delayed","On Time")</f>
        <v>On Time</v>
      </c>
      <c r="T79" s="3" t="n">
        <v>9</v>
      </c>
      <c r="U79" s="4" t="n">
        <v>4698.79</v>
      </c>
      <c r="V79" s="3" t="str">
        <f aca="false">IF(N79&lt;=0,"Yes","No")</f>
        <v>No</v>
      </c>
      <c r="W79" s="3" t="n">
        <v>231</v>
      </c>
      <c r="X79" s="3" t="n">
        <v>198</v>
      </c>
      <c r="Y79" s="5" t="n">
        <f aca="false">IFERROR(1-ABS(W79-X79)/X79,0)</f>
        <v>0.833333333333333</v>
      </c>
      <c r="Z79" s="6" t="n">
        <f aca="false">IFERROR(M79/((K79+N79)/2),0)</f>
        <v>0.698097601323408</v>
      </c>
    </row>
    <row r="80" customFormat="false" ht="15" hidden="false" customHeight="false" outlineLevel="0" collapsed="false">
      <c r="A80" s="2" t="n">
        <v>45657</v>
      </c>
      <c r="B80" s="3" t="s">
        <v>95</v>
      </c>
      <c r="C80" s="3" t="s">
        <v>93</v>
      </c>
      <c r="D80" s="3" t="n">
        <v>2024</v>
      </c>
      <c r="E80" s="3" t="s">
        <v>72</v>
      </c>
      <c r="F80" s="3" t="s">
        <v>73</v>
      </c>
      <c r="G80" s="3" t="s">
        <v>30</v>
      </c>
      <c r="H80" s="3" t="s">
        <v>61</v>
      </c>
      <c r="I80" s="3" t="s">
        <v>45</v>
      </c>
      <c r="J80" s="3" t="s">
        <v>46</v>
      </c>
      <c r="K80" s="3" t="n">
        <v>397</v>
      </c>
      <c r="L80" s="3" t="n">
        <v>77</v>
      </c>
      <c r="M80" s="3" t="n">
        <v>225</v>
      </c>
      <c r="N80" s="3" t="n">
        <f aca="false">K80+L80-M80</f>
        <v>249</v>
      </c>
      <c r="O80" s="3" t="n">
        <v>130</v>
      </c>
      <c r="P80" s="3" t="str">
        <f aca="false">IF(N80&lt;=O80,"Reorder Needed","Sufficient")</f>
        <v>Sufficient</v>
      </c>
      <c r="Q80" s="3" t="n">
        <v>21</v>
      </c>
      <c r="R80" s="3" t="n">
        <v>136</v>
      </c>
      <c r="S80" s="3" t="str">
        <f aca="false">IF(T80&gt;Q80,"Delayed","On Time")</f>
        <v>Delayed</v>
      </c>
      <c r="T80" s="3" t="n">
        <v>24</v>
      </c>
      <c r="U80" s="4" t="n">
        <v>10605.42</v>
      </c>
      <c r="V80" s="3" t="str">
        <f aca="false">IF(N80&lt;=0,"Yes","No")</f>
        <v>No</v>
      </c>
      <c r="W80" s="3" t="n">
        <v>545</v>
      </c>
      <c r="X80" s="3" t="n">
        <v>547</v>
      </c>
      <c r="Y80" s="5" t="n">
        <f aca="false">IFERROR(1-ABS(W80-X80)/X80,0)</f>
        <v>0.996343692870201</v>
      </c>
      <c r="Z80" s="6" t="n">
        <f aca="false">IFERROR(M80/((K80+N80)/2),0)</f>
        <v>0.696594427244582</v>
      </c>
    </row>
    <row r="81" customFormat="false" ht="15" hidden="false" customHeight="false" outlineLevel="0" collapsed="false">
      <c r="A81" s="2" t="n">
        <v>45659</v>
      </c>
      <c r="B81" s="3" t="s">
        <v>26</v>
      </c>
      <c r="C81" s="3" t="s">
        <v>27</v>
      </c>
      <c r="D81" s="3" t="n">
        <v>2025</v>
      </c>
      <c r="E81" s="3" t="s">
        <v>53</v>
      </c>
      <c r="F81" s="3" t="s">
        <v>54</v>
      </c>
      <c r="G81" s="3" t="s">
        <v>36</v>
      </c>
      <c r="H81" s="3" t="s">
        <v>85</v>
      </c>
      <c r="I81" s="3" t="s">
        <v>41</v>
      </c>
      <c r="J81" s="3" t="s">
        <v>33</v>
      </c>
      <c r="K81" s="3" t="n">
        <v>538</v>
      </c>
      <c r="L81" s="3" t="n">
        <v>687</v>
      </c>
      <c r="M81" s="3" t="n">
        <v>403</v>
      </c>
      <c r="N81" s="3" t="n">
        <f aca="false">K81+L81-M81</f>
        <v>822</v>
      </c>
      <c r="O81" s="3" t="n">
        <v>134</v>
      </c>
      <c r="P81" s="3" t="str">
        <f aca="false">IF(N81&lt;=O81,"Reorder Needed","Sufficient")</f>
        <v>Sufficient</v>
      </c>
      <c r="Q81" s="3" t="n">
        <v>18</v>
      </c>
      <c r="R81" s="3" t="n">
        <v>845</v>
      </c>
      <c r="S81" s="3" t="str">
        <f aca="false">IF(T81&gt;Q81,"Delayed","On Time")</f>
        <v>On Time</v>
      </c>
      <c r="T81" s="3" t="n">
        <v>17</v>
      </c>
      <c r="U81" s="4" t="n">
        <v>7969.32</v>
      </c>
      <c r="V81" s="3" t="str">
        <f aca="false">IF(N81&lt;=0,"Yes","No")</f>
        <v>No</v>
      </c>
      <c r="W81" s="3" t="n">
        <v>946</v>
      </c>
      <c r="X81" s="3" t="n">
        <v>1078</v>
      </c>
      <c r="Y81" s="5" t="n">
        <f aca="false">IFERROR(1-ABS(W81-X81)/X81,0)</f>
        <v>0.877551020408163</v>
      </c>
      <c r="Z81" s="6" t="n">
        <f aca="false">IFERROR(M81/((K81+N81)/2),0)</f>
        <v>0.592647058823529</v>
      </c>
    </row>
    <row r="82" customFormat="false" ht="15" hidden="false" customHeight="false" outlineLevel="0" collapsed="false">
      <c r="A82" s="2" t="n">
        <v>45666</v>
      </c>
      <c r="B82" s="3" t="s">
        <v>26</v>
      </c>
      <c r="C82" s="3" t="s">
        <v>27</v>
      </c>
      <c r="D82" s="3" t="n">
        <v>2025</v>
      </c>
      <c r="E82" s="3" t="s">
        <v>72</v>
      </c>
      <c r="F82" s="3" t="s">
        <v>73</v>
      </c>
      <c r="G82" s="3" t="s">
        <v>30</v>
      </c>
      <c r="H82" s="3" t="s">
        <v>40</v>
      </c>
      <c r="I82" s="3" t="s">
        <v>55</v>
      </c>
      <c r="J82" s="3" t="s">
        <v>56</v>
      </c>
      <c r="K82" s="3" t="n">
        <v>1311</v>
      </c>
      <c r="L82" s="3" t="n">
        <v>439</v>
      </c>
      <c r="M82" s="3" t="n">
        <v>1081</v>
      </c>
      <c r="N82" s="3" t="n">
        <f aca="false">K82+L82-M82</f>
        <v>669</v>
      </c>
      <c r="O82" s="3" t="n">
        <v>325</v>
      </c>
      <c r="P82" s="3" t="str">
        <f aca="false">IF(N82&lt;=O82,"Reorder Needed","Sufficient")</f>
        <v>Sufficient</v>
      </c>
      <c r="Q82" s="3" t="n">
        <v>20</v>
      </c>
      <c r="R82" s="3" t="n">
        <v>459</v>
      </c>
      <c r="S82" s="3" t="str">
        <f aca="false">IF(T82&gt;Q82,"Delayed","On Time")</f>
        <v>On Time</v>
      </c>
      <c r="T82" s="3" t="n">
        <v>17</v>
      </c>
      <c r="U82" s="4" t="n">
        <v>10511.97</v>
      </c>
      <c r="V82" s="3" t="str">
        <f aca="false">IF(N82&lt;=0,"Yes","No")</f>
        <v>No</v>
      </c>
      <c r="W82" s="3" t="n">
        <v>205</v>
      </c>
      <c r="X82" s="3" t="n">
        <v>171</v>
      </c>
      <c r="Y82" s="5" t="n">
        <f aca="false">IFERROR(1-ABS(W82-X82)/X82,0)</f>
        <v>0.801169590643275</v>
      </c>
      <c r="Z82" s="6" t="n">
        <f aca="false">IFERROR(M82/((K82+N82)/2),0)</f>
        <v>1.09191919191919</v>
      </c>
    </row>
    <row r="83" customFormat="false" ht="15" hidden="false" customHeight="false" outlineLevel="0" collapsed="false">
      <c r="A83" s="2" t="n">
        <v>45686</v>
      </c>
      <c r="B83" s="3" t="s">
        <v>26</v>
      </c>
      <c r="C83" s="3" t="s">
        <v>27</v>
      </c>
      <c r="D83" s="3" t="n">
        <v>2025</v>
      </c>
      <c r="E83" s="3" t="s">
        <v>42</v>
      </c>
      <c r="F83" s="3" t="s">
        <v>43</v>
      </c>
      <c r="G83" s="3" t="s">
        <v>44</v>
      </c>
      <c r="H83" s="3" t="s">
        <v>31</v>
      </c>
      <c r="I83" s="3" t="s">
        <v>45</v>
      </c>
      <c r="J83" s="3" t="s">
        <v>46</v>
      </c>
      <c r="K83" s="3" t="n">
        <v>892</v>
      </c>
      <c r="L83" s="3" t="n">
        <v>752</v>
      </c>
      <c r="M83" s="3" t="n">
        <v>1701</v>
      </c>
      <c r="N83" s="3" t="n">
        <f aca="false">K83+L83-M83</f>
        <v>-57</v>
      </c>
      <c r="O83" s="3" t="n">
        <v>235</v>
      </c>
      <c r="P83" s="3" t="str">
        <f aca="false">IF(N83&lt;=O83,"Reorder Needed","Sufficient")</f>
        <v>Reorder Needed</v>
      </c>
      <c r="Q83" s="3" t="n">
        <v>8</v>
      </c>
      <c r="R83" s="3" t="n">
        <v>858</v>
      </c>
      <c r="S83" s="3" t="str">
        <f aca="false">IF(T83&gt;Q83,"Delayed","On Time")</f>
        <v>Delayed</v>
      </c>
      <c r="T83" s="3" t="n">
        <v>13</v>
      </c>
      <c r="U83" s="4" t="n">
        <v>4009.15</v>
      </c>
      <c r="V83" s="3" t="str">
        <f aca="false">IF(N83&lt;=0,"Yes","No")</f>
        <v>Yes</v>
      </c>
      <c r="W83" s="3" t="n">
        <v>1014</v>
      </c>
      <c r="X83" s="3" t="n">
        <v>1239</v>
      </c>
      <c r="Y83" s="5" t="n">
        <f aca="false">IFERROR(1-ABS(W83-X83)/X83,0)</f>
        <v>0.818401937046005</v>
      </c>
      <c r="Z83" s="6" t="n">
        <f aca="false">IFERROR(M83/((K83+N83)/2),0)</f>
        <v>4.07425149700599</v>
      </c>
    </row>
    <row r="84" customFormat="false" ht="15" hidden="false" customHeight="false" outlineLevel="0" collapsed="false">
      <c r="A84" s="2" t="n">
        <v>45687</v>
      </c>
      <c r="B84" s="3" t="s">
        <v>26</v>
      </c>
      <c r="C84" s="3" t="s">
        <v>27</v>
      </c>
      <c r="D84" s="3" t="n">
        <v>2025</v>
      </c>
      <c r="E84" s="3" t="s">
        <v>62</v>
      </c>
      <c r="F84" s="3" t="s">
        <v>63</v>
      </c>
      <c r="G84" s="3" t="s">
        <v>64</v>
      </c>
      <c r="H84" s="3" t="s">
        <v>74</v>
      </c>
      <c r="I84" s="3" t="s">
        <v>32</v>
      </c>
      <c r="J84" s="3" t="s">
        <v>33</v>
      </c>
      <c r="K84" s="3" t="n">
        <v>1385</v>
      </c>
      <c r="L84" s="3" t="n">
        <v>609</v>
      </c>
      <c r="M84" s="3" t="n">
        <v>2026</v>
      </c>
      <c r="N84" s="3" t="n">
        <f aca="false">K84+L84-M84</f>
        <v>-32</v>
      </c>
      <c r="O84" s="3" t="n">
        <v>154</v>
      </c>
      <c r="P84" s="3" t="str">
        <f aca="false">IF(N84&lt;=O84,"Reorder Needed","Sufficient")</f>
        <v>Reorder Needed</v>
      </c>
      <c r="Q84" s="3" t="n">
        <v>18</v>
      </c>
      <c r="R84" s="3" t="n">
        <v>649</v>
      </c>
      <c r="S84" s="3" t="str">
        <f aca="false">IF(T84&gt;Q84,"Delayed","On Time")</f>
        <v>Delayed</v>
      </c>
      <c r="T84" s="3" t="n">
        <v>21</v>
      </c>
      <c r="U84" s="4" t="n">
        <v>3201.97</v>
      </c>
      <c r="V84" s="3" t="str">
        <f aca="false">IF(N84&lt;=0,"Yes","No")</f>
        <v>Yes</v>
      </c>
      <c r="W84" s="3" t="n">
        <v>741</v>
      </c>
      <c r="X84" s="3" t="n">
        <v>801</v>
      </c>
      <c r="Y84" s="5" t="n">
        <f aca="false">IFERROR(1-ABS(W84-X84)/X84,0)</f>
        <v>0.925093632958802</v>
      </c>
      <c r="Z84" s="6" t="n">
        <f aca="false">IFERROR(M84/((K84+N84)/2),0)</f>
        <v>2.99482631189948</v>
      </c>
    </row>
    <row r="85" customFormat="false" ht="15" hidden="false" customHeight="false" outlineLevel="0" collapsed="false">
      <c r="A85" s="2" t="n">
        <v>45692</v>
      </c>
      <c r="B85" s="3" t="s">
        <v>51</v>
      </c>
      <c r="C85" s="3" t="s">
        <v>27</v>
      </c>
      <c r="D85" s="3" t="n">
        <v>2025</v>
      </c>
      <c r="E85" s="3" t="s">
        <v>28</v>
      </c>
      <c r="F85" s="3" t="s">
        <v>29</v>
      </c>
      <c r="G85" s="3" t="s">
        <v>30</v>
      </c>
      <c r="H85" s="3" t="s">
        <v>31</v>
      </c>
      <c r="I85" s="3" t="s">
        <v>41</v>
      </c>
      <c r="J85" s="3" t="s">
        <v>33</v>
      </c>
      <c r="K85" s="3" t="n">
        <v>1413</v>
      </c>
      <c r="L85" s="3" t="n">
        <v>753</v>
      </c>
      <c r="M85" s="3" t="n">
        <v>238</v>
      </c>
      <c r="N85" s="3" t="n">
        <f aca="false">K85+L85-M85</f>
        <v>1928</v>
      </c>
      <c r="O85" s="3" t="n">
        <v>281</v>
      </c>
      <c r="P85" s="3" t="str">
        <f aca="false">IF(N85&lt;=O85,"Reorder Needed","Sufficient")</f>
        <v>Sufficient</v>
      </c>
      <c r="Q85" s="3" t="n">
        <v>7</v>
      </c>
      <c r="R85" s="3" t="n">
        <v>523</v>
      </c>
      <c r="S85" s="3" t="str">
        <f aca="false">IF(T85&gt;Q85,"Delayed","On Time")</f>
        <v>On Time</v>
      </c>
      <c r="T85" s="3" t="n">
        <v>4</v>
      </c>
      <c r="U85" s="4" t="n">
        <v>11708.21</v>
      </c>
      <c r="V85" s="3" t="str">
        <f aca="false">IF(N85&lt;=0,"Yes","No")</f>
        <v>No</v>
      </c>
      <c r="W85" s="3" t="n">
        <v>1599</v>
      </c>
      <c r="X85" s="3" t="n">
        <v>1346</v>
      </c>
      <c r="Y85" s="5" t="n">
        <f aca="false">IFERROR(1-ABS(W85-X85)/X85,0)</f>
        <v>0.812035661218425</v>
      </c>
      <c r="Z85" s="6" t="n">
        <f aca="false">IFERROR(M85/((K85+N85)/2),0)</f>
        <v>0.142472313678539</v>
      </c>
    </row>
    <row r="86" customFormat="false" ht="15" hidden="false" customHeight="false" outlineLevel="0" collapsed="false">
      <c r="A86" s="2" t="n">
        <v>45702</v>
      </c>
      <c r="B86" s="3" t="s">
        <v>51</v>
      </c>
      <c r="C86" s="3" t="s">
        <v>27</v>
      </c>
      <c r="D86" s="3" t="n">
        <v>2025</v>
      </c>
      <c r="E86" s="3" t="s">
        <v>53</v>
      </c>
      <c r="F86" s="3" t="s">
        <v>54</v>
      </c>
      <c r="G86" s="3" t="s">
        <v>36</v>
      </c>
      <c r="H86" s="3" t="s">
        <v>61</v>
      </c>
      <c r="I86" s="3" t="s">
        <v>32</v>
      </c>
      <c r="J86" s="3" t="s">
        <v>33</v>
      </c>
      <c r="K86" s="3" t="n">
        <v>403</v>
      </c>
      <c r="L86" s="3" t="n">
        <v>693</v>
      </c>
      <c r="M86" s="3" t="n">
        <v>124</v>
      </c>
      <c r="N86" s="3" t="n">
        <f aca="false">K86+L86-M86</f>
        <v>972</v>
      </c>
      <c r="O86" s="3" t="n">
        <v>372</v>
      </c>
      <c r="P86" s="3" t="str">
        <f aca="false">IF(N86&lt;=O86,"Reorder Needed","Sufficient")</f>
        <v>Sufficient</v>
      </c>
      <c r="Q86" s="3" t="n">
        <v>20</v>
      </c>
      <c r="R86" s="3" t="n">
        <v>272</v>
      </c>
      <c r="S86" s="3" t="str">
        <f aca="false">IF(T86&gt;Q86,"Delayed","On Time")</f>
        <v>On Time</v>
      </c>
      <c r="T86" s="3" t="n">
        <v>18</v>
      </c>
      <c r="U86" s="4" t="n">
        <v>9488.97</v>
      </c>
      <c r="V86" s="3" t="str">
        <f aca="false">IF(N86&lt;=0,"Yes","No")</f>
        <v>No</v>
      </c>
      <c r="W86" s="3" t="n">
        <v>1192</v>
      </c>
      <c r="X86" s="3" t="n">
        <v>1239</v>
      </c>
      <c r="Y86" s="5" t="n">
        <f aca="false">IFERROR(1-ABS(W86-X86)/X86,0)</f>
        <v>0.962066182405166</v>
      </c>
      <c r="Z86" s="6" t="n">
        <f aca="false">IFERROR(M86/((K86+N86)/2),0)</f>
        <v>0.180363636363636</v>
      </c>
    </row>
    <row r="87" customFormat="false" ht="15" hidden="false" customHeight="false" outlineLevel="0" collapsed="false">
      <c r="A87" s="2" t="n">
        <v>45703</v>
      </c>
      <c r="B87" s="3" t="s">
        <v>51</v>
      </c>
      <c r="C87" s="3" t="s">
        <v>27</v>
      </c>
      <c r="D87" s="3" t="n">
        <v>2025</v>
      </c>
      <c r="E87" s="3" t="s">
        <v>49</v>
      </c>
      <c r="F87" s="3" t="s">
        <v>50</v>
      </c>
      <c r="G87" s="3" t="s">
        <v>30</v>
      </c>
      <c r="H87" s="3" t="s">
        <v>74</v>
      </c>
      <c r="I87" s="3" t="s">
        <v>32</v>
      </c>
      <c r="J87" s="3" t="s">
        <v>33</v>
      </c>
      <c r="K87" s="3" t="n">
        <v>255</v>
      </c>
      <c r="L87" s="3" t="n">
        <v>162</v>
      </c>
      <c r="M87" s="3" t="n">
        <v>331</v>
      </c>
      <c r="N87" s="3" t="n">
        <f aca="false">K87+L87-M87</f>
        <v>86</v>
      </c>
      <c r="O87" s="3" t="n">
        <v>239</v>
      </c>
      <c r="P87" s="3" t="str">
        <f aca="false">IF(N87&lt;=O87,"Reorder Needed","Sufficient")</f>
        <v>Reorder Needed</v>
      </c>
      <c r="Q87" s="3" t="n">
        <v>13</v>
      </c>
      <c r="R87" s="3" t="n">
        <v>187</v>
      </c>
      <c r="S87" s="3" t="str">
        <f aca="false">IF(T87&gt;Q87,"Delayed","On Time")</f>
        <v>Delayed</v>
      </c>
      <c r="T87" s="3" t="n">
        <v>15</v>
      </c>
      <c r="U87" s="4" t="n">
        <v>4297.68</v>
      </c>
      <c r="V87" s="3" t="str">
        <f aca="false">IF(N87&lt;=0,"Yes","No")</f>
        <v>No</v>
      </c>
      <c r="W87" s="3" t="n">
        <v>1154</v>
      </c>
      <c r="X87" s="3" t="n">
        <v>984</v>
      </c>
      <c r="Y87" s="5" t="n">
        <f aca="false">IFERROR(1-ABS(W87-X87)/X87,0)</f>
        <v>0.827235772357724</v>
      </c>
      <c r="Z87" s="6" t="n">
        <f aca="false">IFERROR(M87/((K87+N87)/2),0)</f>
        <v>1.94134897360704</v>
      </c>
    </row>
    <row r="88" customFormat="false" ht="15" hidden="false" customHeight="false" outlineLevel="0" collapsed="false">
      <c r="A88" s="2" t="n">
        <v>45705</v>
      </c>
      <c r="B88" s="3" t="s">
        <v>51</v>
      </c>
      <c r="C88" s="3" t="s">
        <v>27</v>
      </c>
      <c r="D88" s="3" t="n">
        <v>2025</v>
      </c>
      <c r="E88" s="3" t="s">
        <v>42</v>
      </c>
      <c r="F88" s="3" t="s">
        <v>43</v>
      </c>
      <c r="G88" s="3" t="s">
        <v>44</v>
      </c>
      <c r="H88" s="3" t="s">
        <v>85</v>
      </c>
      <c r="I88" s="3" t="s">
        <v>41</v>
      </c>
      <c r="J88" s="3" t="s">
        <v>33</v>
      </c>
      <c r="K88" s="3" t="n">
        <v>1073</v>
      </c>
      <c r="L88" s="3" t="n">
        <v>339</v>
      </c>
      <c r="M88" s="3" t="n">
        <v>461</v>
      </c>
      <c r="N88" s="3" t="n">
        <f aca="false">K88+L88-M88</f>
        <v>951</v>
      </c>
      <c r="O88" s="3" t="n">
        <v>200</v>
      </c>
      <c r="P88" s="3" t="str">
        <f aca="false">IF(N88&lt;=O88,"Reorder Needed","Sufficient")</f>
        <v>Sufficient</v>
      </c>
      <c r="Q88" s="3" t="n">
        <v>16</v>
      </c>
      <c r="R88" s="3" t="n">
        <v>52</v>
      </c>
      <c r="S88" s="3" t="str">
        <f aca="false">IF(T88&gt;Q88,"Delayed","On Time")</f>
        <v>Delayed</v>
      </c>
      <c r="T88" s="3" t="n">
        <v>20</v>
      </c>
      <c r="U88" s="4" t="n">
        <v>7224.25</v>
      </c>
      <c r="V88" s="3" t="str">
        <f aca="false">IF(N88&lt;=0,"Yes","No")</f>
        <v>No</v>
      </c>
      <c r="W88" s="3" t="n">
        <v>314</v>
      </c>
      <c r="X88" s="3" t="n">
        <v>245</v>
      </c>
      <c r="Y88" s="5" t="n">
        <f aca="false">IFERROR(1-ABS(W88-X88)/X88,0)</f>
        <v>0.718367346938776</v>
      </c>
      <c r="Z88" s="6" t="n">
        <f aca="false">IFERROR(M88/((K88+N88)/2),0)</f>
        <v>0.455533596837945</v>
      </c>
    </row>
    <row r="89" customFormat="false" ht="15" hidden="false" customHeight="false" outlineLevel="0" collapsed="false">
      <c r="A89" s="2" t="n">
        <v>45712</v>
      </c>
      <c r="B89" s="3" t="s">
        <v>51</v>
      </c>
      <c r="C89" s="3" t="s">
        <v>27</v>
      </c>
      <c r="D89" s="3" t="n">
        <v>2025</v>
      </c>
      <c r="E89" s="3" t="s">
        <v>58</v>
      </c>
      <c r="F89" s="3" t="s">
        <v>59</v>
      </c>
      <c r="G89" s="3" t="s">
        <v>60</v>
      </c>
      <c r="H89" s="3" t="s">
        <v>40</v>
      </c>
      <c r="I89" s="3" t="s">
        <v>41</v>
      </c>
      <c r="J89" s="3" t="s">
        <v>33</v>
      </c>
      <c r="K89" s="3" t="n">
        <v>920</v>
      </c>
      <c r="L89" s="3" t="n">
        <v>71</v>
      </c>
      <c r="M89" s="3" t="n">
        <v>223</v>
      </c>
      <c r="N89" s="3" t="n">
        <f aca="false">K89+L89-M89</f>
        <v>768</v>
      </c>
      <c r="O89" s="3" t="n">
        <v>179</v>
      </c>
      <c r="P89" s="3" t="str">
        <f aca="false">IF(N89&lt;=O89,"Reorder Needed","Sufficient")</f>
        <v>Sufficient</v>
      </c>
      <c r="Q89" s="3" t="n">
        <v>11</v>
      </c>
      <c r="R89" s="3" t="n">
        <v>796</v>
      </c>
      <c r="S89" s="3" t="str">
        <f aca="false">IF(T89&gt;Q89,"Delayed","On Time")</f>
        <v>On Time</v>
      </c>
      <c r="T89" s="3" t="n">
        <v>10</v>
      </c>
      <c r="U89" s="4" t="n">
        <v>11368.08</v>
      </c>
      <c r="V89" s="3" t="str">
        <f aca="false">IF(N89&lt;=0,"Yes","No")</f>
        <v>No</v>
      </c>
      <c r="W89" s="3" t="n">
        <v>415</v>
      </c>
      <c r="X89" s="3" t="n">
        <v>369</v>
      </c>
      <c r="Y89" s="5" t="n">
        <f aca="false">IFERROR(1-ABS(W89-X89)/X89,0)</f>
        <v>0.875338753387534</v>
      </c>
      <c r="Z89" s="6" t="n">
        <f aca="false">IFERROR(M89/((K89+N89)/2),0)</f>
        <v>0.264218009478673</v>
      </c>
    </row>
    <row r="90" customFormat="false" ht="15" hidden="false" customHeight="false" outlineLevel="0" collapsed="false">
      <c r="A90" s="2" t="n">
        <v>45725</v>
      </c>
      <c r="B90" s="3" t="s">
        <v>57</v>
      </c>
      <c r="C90" s="3" t="s">
        <v>27</v>
      </c>
      <c r="D90" s="3" t="n">
        <v>2025</v>
      </c>
      <c r="E90" s="3" t="s">
        <v>83</v>
      </c>
      <c r="F90" s="3" t="s">
        <v>84</v>
      </c>
      <c r="G90" s="3" t="s">
        <v>60</v>
      </c>
      <c r="H90" s="3" t="s">
        <v>52</v>
      </c>
      <c r="I90" s="3" t="s">
        <v>38</v>
      </c>
      <c r="J90" s="3" t="s">
        <v>39</v>
      </c>
      <c r="K90" s="3" t="n">
        <v>1034</v>
      </c>
      <c r="L90" s="3" t="n">
        <v>8</v>
      </c>
      <c r="M90" s="3" t="n">
        <v>997</v>
      </c>
      <c r="N90" s="3" t="n">
        <f aca="false">K90+L90-M90</f>
        <v>45</v>
      </c>
      <c r="O90" s="3" t="n">
        <v>381</v>
      </c>
      <c r="P90" s="3" t="str">
        <f aca="false">IF(N90&lt;=O90,"Reorder Needed","Sufficient")</f>
        <v>Reorder Needed</v>
      </c>
      <c r="Q90" s="3" t="n">
        <v>13</v>
      </c>
      <c r="R90" s="3" t="n">
        <v>829</v>
      </c>
      <c r="S90" s="3" t="str">
        <f aca="false">IF(T90&gt;Q90,"Delayed","On Time")</f>
        <v>Delayed</v>
      </c>
      <c r="T90" s="3" t="n">
        <v>15</v>
      </c>
      <c r="U90" s="4" t="n">
        <v>2803.18</v>
      </c>
      <c r="V90" s="3" t="str">
        <f aca="false">IF(N90&lt;=0,"Yes","No")</f>
        <v>No</v>
      </c>
      <c r="W90" s="3" t="n">
        <v>1511</v>
      </c>
      <c r="X90" s="3" t="n">
        <v>1502</v>
      </c>
      <c r="Y90" s="5" t="n">
        <f aca="false">IFERROR(1-ABS(W90-X90)/X90,0)</f>
        <v>0.994007989347537</v>
      </c>
      <c r="Z90" s="6" t="n">
        <f aca="false">IFERROR(M90/((K90+N90)/2),0)</f>
        <v>1.84800741427247</v>
      </c>
    </row>
    <row r="91" customFormat="false" ht="15" hidden="false" customHeight="false" outlineLevel="0" collapsed="false">
      <c r="A91" s="2" t="n">
        <v>45729</v>
      </c>
      <c r="B91" s="3" t="s">
        <v>57</v>
      </c>
      <c r="C91" s="3" t="s">
        <v>27</v>
      </c>
      <c r="D91" s="3" t="n">
        <v>2025</v>
      </c>
      <c r="E91" s="3" t="s">
        <v>42</v>
      </c>
      <c r="F91" s="3" t="s">
        <v>43</v>
      </c>
      <c r="G91" s="3" t="s">
        <v>44</v>
      </c>
      <c r="H91" s="3" t="s">
        <v>52</v>
      </c>
      <c r="I91" s="3" t="s">
        <v>55</v>
      </c>
      <c r="J91" s="3" t="s">
        <v>56</v>
      </c>
      <c r="K91" s="3" t="n">
        <v>1393</v>
      </c>
      <c r="L91" s="3" t="n">
        <v>407</v>
      </c>
      <c r="M91" s="3" t="n">
        <v>1887</v>
      </c>
      <c r="N91" s="3" t="n">
        <f aca="false">K91+L91-M91</f>
        <v>-87</v>
      </c>
      <c r="O91" s="3" t="n">
        <v>79</v>
      </c>
      <c r="P91" s="3" t="str">
        <f aca="false">IF(N91&lt;=O91,"Reorder Needed","Sufficient")</f>
        <v>Reorder Needed</v>
      </c>
      <c r="Q91" s="3" t="n">
        <v>6</v>
      </c>
      <c r="R91" s="3" t="n">
        <v>190</v>
      </c>
      <c r="S91" s="3" t="str">
        <f aca="false">IF(T91&gt;Q91,"Delayed","On Time")</f>
        <v>On Time</v>
      </c>
      <c r="T91" s="3" t="n">
        <v>5</v>
      </c>
      <c r="U91" s="4" t="n">
        <v>14117.28</v>
      </c>
      <c r="V91" s="3" t="str">
        <f aca="false">IF(N91&lt;=0,"Yes","No")</f>
        <v>Yes</v>
      </c>
      <c r="W91" s="3" t="n">
        <v>652</v>
      </c>
      <c r="X91" s="3" t="n">
        <v>732</v>
      </c>
      <c r="Y91" s="5" t="n">
        <f aca="false">IFERROR(1-ABS(W91-X91)/X91,0)</f>
        <v>0.890710382513661</v>
      </c>
      <c r="Z91" s="6" t="n">
        <f aca="false">IFERROR(M91/((K91+N91)/2),0)</f>
        <v>2.88973966309342</v>
      </c>
    </row>
    <row r="92" customFormat="false" ht="15" hidden="false" customHeight="false" outlineLevel="0" collapsed="false">
      <c r="A92" s="2" t="n">
        <v>45730</v>
      </c>
      <c r="B92" s="3" t="s">
        <v>57</v>
      </c>
      <c r="C92" s="3" t="s">
        <v>27</v>
      </c>
      <c r="D92" s="3" t="n">
        <v>2025</v>
      </c>
      <c r="E92" s="3" t="s">
        <v>72</v>
      </c>
      <c r="F92" s="3" t="s">
        <v>73</v>
      </c>
      <c r="G92" s="3" t="s">
        <v>30</v>
      </c>
      <c r="H92" s="3" t="s">
        <v>61</v>
      </c>
      <c r="I92" s="3" t="s">
        <v>55</v>
      </c>
      <c r="J92" s="3" t="s">
        <v>56</v>
      </c>
      <c r="K92" s="3" t="n">
        <v>890</v>
      </c>
      <c r="L92" s="3" t="n">
        <v>174</v>
      </c>
      <c r="M92" s="3" t="n">
        <v>849</v>
      </c>
      <c r="N92" s="3" t="n">
        <f aca="false">K92+L92-M92</f>
        <v>215</v>
      </c>
      <c r="O92" s="3" t="n">
        <v>54</v>
      </c>
      <c r="P92" s="3" t="str">
        <f aca="false">IF(N92&lt;=O92,"Reorder Needed","Sufficient")</f>
        <v>Sufficient</v>
      </c>
      <c r="Q92" s="3" t="n">
        <v>5</v>
      </c>
      <c r="R92" s="3" t="n">
        <v>895</v>
      </c>
      <c r="S92" s="3" t="str">
        <f aca="false">IF(T92&gt;Q92,"Delayed","On Time")</f>
        <v>Delayed</v>
      </c>
      <c r="T92" s="3" t="n">
        <v>8</v>
      </c>
      <c r="U92" s="4" t="n">
        <v>5002.61</v>
      </c>
      <c r="V92" s="3" t="str">
        <f aca="false">IF(N92&lt;=0,"Yes","No")</f>
        <v>No</v>
      </c>
      <c r="W92" s="3" t="n">
        <v>841</v>
      </c>
      <c r="X92" s="3" t="n">
        <v>901</v>
      </c>
      <c r="Y92" s="5" t="n">
        <f aca="false">IFERROR(1-ABS(W92-X92)/X92,0)</f>
        <v>0.933407325194229</v>
      </c>
      <c r="Z92" s="6" t="n">
        <f aca="false">IFERROR(M92/((K92+N92)/2),0)</f>
        <v>1.53665158371041</v>
      </c>
    </row>
    <row r="93" customFormat="false" ht="15" hidden="false" customHeight="false" outlineLevel="0" collapsed="false">
      <c r="A93" s="2" t="n">
        <v>45730</v>
      </c>
      <c r="B93" s="3" t="s">
        <v>57</v>
      </c>
      <c r="C93" s="3" t="s">
        <v>27</v>
      </c>
      <c r="D93" s="3" t="n">
        <v>2025</v>
      </c>
      <c r="E93" s="3" t="s">
        <v>53</v>
      </c>
      <c r="F93" s="3" t="s">
        <v>54</v>
      </c>
      <c r="G93" s="3" t="s">
        <v>36</v>
      </c>
      <c r="H93" s="3" t="s">
        <v>37</v>
      </c>
      <c r="I93" s="3" t="s">
        <v>41</v>
      </c>
      <c r="J93" s="3" t="s">
        <v>33</v>
      </c>
      <c r="K93" s="3" t="n">
        <v>509</v>
      </c>
      <c r="L93" s="3" t="n">
        <v>266</v>
      </c>
      <c r="M93" s="3" t="n">
        <v>585</v>
      </c>
      <c r="N93" s="3" t="n">
        <f aca="false">K93+L93-M93</f>
        <v>190</v>
      </c>
      <c r="O93" s="3" t="n">
        <v>364</v>
      </c>
      <c r="P93" s="3" t="str">
        <f aca="false">IF(N93&lt;=O93,"Reorder Needed","Sufficient")</f>
        <v>Reorder Needed</v>
      </c>
      <c r="Q93" s="3" t="n">
        <v>11</v>
      </c>
      <c r="R93" s="3" t="n">
        <v>602</v>
      </c>
      <c r="S93" s="3" t="str">
        <f aca="false">IF(T93&gt;Q93,"Delayed","On Time")</f>
        <v>Delayed</v>
      </c>
      <c r="T93" s="3" t="n">
        <v>16</v>
      </c>
      <c r="U93" s="4" t="n">
        <v>10258.27</v>
      </c>
      <c r="V93" s="3" t="str">
        <f aca="false">IF(N93&lt;=0,"Yes","No")</f>
        <v>No</v>
      </c>
      <c r="W93" s="3" t="n">
        <v>1125</v>
      </c>
      <c r="X93" s="3" t="n">
        <v>1226</v>
      </c>
      <c r="Y93" s="5" t="n">
        <f aca="false">IFERROR(1-ABS(W93-X93)/X93,0)</f>
        <v>0.917618270799347</v>
      </c>
      <c r="Z93" s="6" t="n">
        <f aca="false">IFERROR(M93/((K93+N93)/2),0)</f>
        <v>1.67381974248927</v>
      </c>
    </row>
    <row r="94" customFormat="false" ht="15" hidden="false" customHeight="false" outlineLevel="0" collapsed="false">
      <c r="A94" s="2" t="n">
        <v>45730</v>
      </c>
      <c r="B94" s="3" t="s">
        <v>57</v>
      </c>
      <c r="C94" s="3" t="s">
        <v>27</v>
      </c>
      <c r="D94" s="3" t="n">
        <v>2025</v>
      </c>
      <c r="E94" s="3" t="s">
        <v>47</v>
      </c>
      <c r="F94" s="3" t="s">
        <v>48</v>
      </c>
      <c r="G94" s="3" t="s">
        <v>44</v>
      </c>
      <c r="H94" s="3" t="s">
        <v>40</v>
      </c>
      <c r="I94" s="3" t="s">
        <v>38</v>
      </c>
      <c r="J94" s="3" t="s">
        <v>39</v>
      </c>
      <c r="K94" s="3" t="n">
        <v>243</v>
      </c>
      <c r="L94" s="3" t="n">
        <v>218</v>
      </c>
      <c r="M94" s="3" t="n">
        <v>311</v>
      </c>
      <c r="N94" s="3" t="n">
        <f aca="false">K94+L94-M94</f>
        <v>150</v>
      </c>
      <c r="O94" s="3" t="n">
        <v>121</v>
      </c>
      <c r="P94" s="3" t="str">
        <f aca="false">IF(N94&lt;=O94,"Reorder Needed","Sufficient")</f>
        <v>Sufficient</v>
      </c>
      <c r="Q94" s="3" t="n">
        <v>3</v>
      </c>
      <c r="R94" s="3" t="n">
        <v>109</v>
      </c>
      <c r="S94" s="3" t="str">
        <f aca="false">IF(T94&gt;Q94,"Delayed","On Time")</f>
        <v>Delayed</v>
      </c>
      <c r="T94" s="3" t="n">
        <v>7</v>
      </c>
      <c r="U94" s="4" t="n">
        <v>12889.74</v>
      </c>
      <c r="V94" s="3" t="str">
        <f aca="false">IF(N94&lt;=0,"Yes","No")</f>
        <v>No</v>
      </c>
      <c r="W94" s="3" t="n">
        <v>1559</v>
      </c>
      <c r="X94" s="3" t="n">
        <v>1499</v>
      </c>
      <c r="Y94" s="5" t="n">
        <f aca="false">IFERROR(1-ABS(W94-X94)/X94,0)</f>
        <v>0.959973315543696</v>
      </c>
      <c r="Z94" s="6" t="n">
        <f aca="false">IFERROR(M94/((K94+N94)/2),0)</f>
        <v>1.58269720101781</v>
      </c>
    </row>
    <row r="95" customFormat="false" ht="15" hidden="false" customHeight="false" outlineLevel="0" collapsed="false">
      <c r="A95" s="2" t="n">
        <v>45731</v>
      </c>
      <c r="B95" s="3" t="s">
        <v>57</v>
      </c>
      <c r="C95" s="3" t="s">
        <v>27</v>
      </c>
      <c r="D95" s="3" t="n">
        <v>2025</v>
      </c>
      <c r="E95" s="3" t="s">
        <v>89</v>
      </c>
      <c r="F95" s="3" t="s">
        <v>90</v>
      </c>
      <c r="G95" s="3" t="s">
        <v>36</v>
      </c>
      <c r="H95" s="3" t="s">
        <v>65</v>
      </c>
      <c r="I95" s="3" t="s">
        <v>32</v>
      </c>
      <c r="J95" s="3" t="s">
        <v>33</v>
      </c>
      <c r="K95" s="3" t="n">
        <v>522</v>
      </c>
      <c r="L95" s="3" t="n">
        <v>525</v>
      </c>
      <c r="M95" s="3" t="n">
        <v>584</v>
      </c>
      <c r="N95" s="3" t="n">
        <f aca="false">K95+L95-M95</f>
        <v>463</v>
      </c>
      <c r="O95" s="3" t="n">
        <v>287</v>
      </c>
      <c r="P95" s="3" t="str">
        <f aca="false">IF(N95&lt;=O95,"Reorder Needed","Sufficient")</f>
        <v>Sufficient</v>
      </c>
      <c r="Q95" s="3" t="n">
        <v>9</v>
      </c>
      <c r="R95" s="3" t="n">
        <v>103</v>
      </c>
      <c r="S95" s="3" t="str">
        <f aca="false">IF(T95&gt;Q95,"Delayed","On Time")</f>
        <v>Delayed</v>
      </c>
      <c r="T95" s="3" t="n">
        <v>12</v>
      </c>
      <c r="U95" s="4" t="n">
        <v>3860.08</v>
      </c>
      <c r="V95" s="3" t="str">
        <f aca="false">IF(N95&lt;=0,"Yes","No")</f>
        <v>No</v>
      </c>
      <c r="W95" s="3" t="n">
        <v>1128</v>
      </c>
      <c r="X95" s="3" t="n">
        <v>1225</v>
      </c>
      <c r="Y95" s="5" t="n">
        <f aca="false">IFERROR(1-ABS(W95-X95)/X95,0)</f>
        <v>0.920816326530612</v>
      </c>
      <c r="Z95" s="6" t="n">
        <f aca="false">IFERROR(M95/((K95+N95)/2),0)</f>
        <v>1.18578680203046</v>
      </c>
    </row>
    <row r="96" customFormat="false" ht="15" hidden="false" customHeight="false" outlineLevel="0" collapsed="false">
      <c r="A96" s="2" t="n">
        <v>45732</v>
      </c>
      <c r="B96" s="3" t="s">
        <v>57</v>
      </c>
      <c r="C96" s="3" t="s">
        <v>27</v>
      </c>
      <c r="D96" s="3" t="n">
        <v>2025</v>
      </c>
      <c r="E96" s="3" t="s">
        <v>28</v>
      </c>
      <c r="F96" s="3" t="s">
        <v>29</v>
      </c>
      <c r="G96" s="3" t="s">
        <v>30</v>
      </c>
      <c r="H96" s="3" t="s">
        <v>40</v>
      </c>
      <c r="I96" s="3" t="s">
        <v>55</v>
      </c>
      <c r="J96" s="3" t="s">
        <v>56</v>
      </c>
      <c r="K96" s="3" t="n">
        <v>891</v>
      </c>
      <c r="L96" s="3" t="n">
        <v>43</v>
      </c>
      <c r="M96" s="3" t="n">
        <v>728</v>
      </c>
      <c r="N96" s="3" t="n">
        <f aca="false">K96+L96-M96</f>
        <v>206</v>
      </c>
      <c r="O96" s="3" t="n">
        <v>93</v>
      </c>
      <c r="P96" s="3" t="str">
        <f aca="false">IF(N96&lt;=O96,"Reorder Needed","Sufficient")</f>
        <v>Sufficient</v>
      </c>
      <c r="Q96" s="3" t="n">
        <v>3</v>
      </c>
      <c r="R96" s="3" t="n">
        <v>842</v>
      </c>
      <c r="S96" s="3" t="str">
        <f aca="false">IF(T96&gt;Q96,"Delayed","On Time")</f>
        <v>Delayed</v>
      </c>
      <c r="T96" s="3" t="n">
        <v>8</v>
      </c>
      <c r="U96" s="4" t="n">
        <v>8612.12</v>
      </c>
      <c r="V96" s="3" t="str">
        <f aca="false">IF(N96&lt;=0,"Yes","No")</f>
        <v>No</v>
      </c>
      <c r="W96" s="3" t="n">
        <v>569</v>
      </c>
      <c r="X96" s="3" t="n">
        <v>584</v>
      </c>
      <c r="Y96" s="5" t="n">
        <f aca="false">IFERROR(1-ABS(W96-X96)/X96,0)</f>
        <v>0.974315068493151</v>
      </c>
      <c r="Z96" s="6" t="n">
        <f aca="false">IFERROR(M96/((K96+N96)/2),0)</f>
        <v>1.32725615314494</v>
      </c>
    </row>
    <row r="97" customFormat="false" ht="15" hidden="false" customHeight="false" outlineLevel="0" collapsed="false">
      <c r="A97" s="2" t="n">
        <v>45734</v>
      </c>
      <c r="B97" s="3" t="s">
        <v>57</v>
      </c>
      <c r="C97" s="3" t="s">
        <v>27</v>
      </c>
      <c r="D97" s="3" t="n">
        <v>2025</v>
      </c>
      <c r="E97" s="3" t="s">
        <v>42</v>
      </c>
      <c r="F97" s="3" t="s">
        <v>43</v>
      </c>
      <c r="G97" s="3" t="s">
        <v>44</v>
      </c>
      <c r="H97" s="3" t="s">
        <v>52</v>
      </c>
      <c r="I97" s="3" t="s">
        <v>32</v>
      </c>
      <c r="J97" s="3" t="s">
        <v>33</v>
      </c>
      <c r="K97" s="3" t="n">
        <v>82</v>
      </c>
      <c r="L97" s="3" t="n">
        <v>127</v>
      </c>
      <c r="M97" s="3" t="n">
        <v>119</v>
      </c>
      <c r="N97" s="3" t="n">
        <f aca="false">K97+L97-M97</f>
        <v>90</v>
      </c>
      <c r="O97" s="3" t="n">
        <v>73</v>
      </c>
      <c r="P97" s="3" t="str">
        <f aca="false">IF(N97&lt;=O97,"Reorder Needed","Sufficient")</f>
        <v>Sufficient</v>
      </c>
      <c r="Q97" s="3" t="n">
        <v>18</v>
      </c>
      <c r="R97" s="3" t="n">
        <v>923</v>
      </c>
      <c r="S97" s="3" t="str">
        <f aca="false">IF(T97&gt;Q97,"Delayed","On Time")</f>
        <v>Delayed</v>
      </c>
      <c r="T97" s="3" t="n">
        <v>19</v>
      </c>
      <c r="U97" s="4" t="n">
        <v>5727.97</v>
      </c>
      <c r="V97" s="3" t="str">
        <f aca="false">IF(N97&lt;=0,"Yes","No")</f>
        <v>No</v>
      </c>
      <c r="W97" s="3" t="n">
        <v>1057</v>
      </c>
      <c r="X97" s="3" t="n">
        <v>1056</v>
      </c>
      <c r="Y97" s="5" t="n">
        <f aca="false">IFERROR(1-ABS(W97-X97)/X97,0)</f>
        <v>0.99905303030303</v>
      </c>
      <c r="Z97" s="6" t="n">
        <f aca="false">IFERROR(M97/((K97+N97)/2),0)</f>
        <v>1.38372093023256</v>
      </c>
    </row>
    <row r="98" customFormat="false" ht="15" hidden="false" customHeight="false" outlineLevel="0" collapsed="false">
      <c r="A98" s="2" t="n">
        <v>45736</v>
      </c>
      <c r="B98" s="3" t="s">
        <v>57</v>
      </c>
      <c r="C98" s="3" t="s">
        <v>27</v>
      </c>
      <c r="D98" s="3" t="n">
        <v>2025</v>
      </c>
      <c r="E98" s="3" t="s">
        <v>87</v>
      </c>
      <c r="F98" s="3" t="s">
        <v>88</v>
      </c>
      <c r="G98" s="3" t="s">
        <v>64</v>
      </c>
      <c r="H98" s="3" t="s">
        <v>52</v>
      </c>
      <c r="I98" s="3" t="s">
        <v>45</v>
      </c>
      <c r="J98" s="3" t="s">
        <v>46</v>
      </c>
      <c r="K98" s="3" t="n">
        <v>558</v>
      </c>
      <c r="L98" s="3" t="n">
        <v>701</v>
      </c>
      <c r="M98" s="3" t="n">
        <v>450</v>
      </c>
      <c r="N98" s="3" t="n">
        <f aca="false">K98+L98-M98</f>
        <v>809</v>
      </c>
      <c r="O98" s="3" t="n">
        <v>272</v>
      </c>
      <c r="P98" s="3" t="str">
        <f aca="false">IF(N98&lt;=O98,"Reorder Needed","Sufficient")</f>
        <v>Sufficient</v>
      </c>
      <c r="Q98" s="3" t="n">
        <v>3</v>
      </c>
      <c r="R98" s="3" t="n">
        <v>570</v>
      </c>
      <c r="S98" s="3" t="str">
        <f aca="false">IF(T98&gt;Q98,"Delayed","On Time")</f>
        <v>On Time</v>
      </c>
      <c r="T98" s="3" t="n">
        <v>1</v>
      </c>
      <c r="U98" s="4" t="n">
        <v>922.65</v>
      </c>
      <c r="V98" s="3" t="str">
        <f aca="false">IF(N98&lt;=0,"Yes","No")</f>
        <v>No</v>
      </c>
      <c r="W98" s="3" t="n">
        <v>946</v>
      </c>
      <c r="X98" s="3" t="n">
        <v>991</v>
      </c>
      <c r="Y98" s="5" t="n">
        <f aca="false">IFERROR(1-ABS(W98-X98)/X98,0)</f>
        <v>0.954591321897074</v>
      </c>
      <c r="Z98" s="6" t="n">
        <f aca="false">IFERROR(M98/((K98+N98)/2),0)</f>
        <v>0.658376005852231</v>
      </c>
    </row>
    <row r="99" customFormat="false" ht="15" hidden="false" customHeight="false" outlineLevel="0" collapsed="false">
      <c r="A99" s="2" t="n">
        <v>45744</v>
      </c>
      <c r="B99" s="3" t="s">
        <v>57</v>
      </c>
      <c r="C99" s="3" t="s">
        <v>27</v>
      </c>
      <c r="D99" s="3" t="n">
        <v>2025</v>
      </c>
      <c r="E99" s="3" t="s">
        <v>83</v>
      </c>
      <c r="F99" s="3" t="s">
        <v>84</v>
      </c>
      <c r="G99" s="3" t="s">
        <v>60</v>
      </c>
      <c r="H99" s="3" t="s">
        <v>40</v>
      </c>
      <c r="I99" s="3" t="s">
        <v>32</v>
      </c>
      <c r="J99" s="3" t="s">
        <v>33</v>
      </c>
      <c r="K99" s="3" t="n">
        <v>156</v>
      </c>
      <c r="L99" s="3" t="n">
        <v>581</v>
      </c>
      <c r="M99" s="3" t="n">
        <v>802</v>
      </c>
      <c r="N99" s="3" t="n">
        <f aca="false">K99+L99-M99</f>
        <v>-65</v>
      </c>
      <c r="O99" s="3" t="n">
        <v>365</v>
      </c>
      <c r="P99" s="3" t="str">
        <f aca="false">IF(N99&lt;=O99,"Reorder Needed","Sufficient")</f>
        <v>Reorder Needed</v>
      </c>
      <c r="Q99" s="3" t="n">
        <v>21</v>
      </c>
      <c r="R99" s="3" t="n">
        <v>616</v>
      </c>
      <c r="S99" s="3" t="str">
        <f aca="false">IF(T99&gt;Q99,"Delayed","On Time")</f>
        <v>Delayed</v>
      </c>
      <c r="T99" s="3" t="n">
        <v>23</v>
      </c>
      <c r="U99" s="4" t="n">
        <v>14895.45</v>
      </c>
      <c r="V99" s="3" t="str">
        <f aca="false">IF(N99&lt;=0,"Yes","No")</f>
        <v>Yes</v>
      </c>
      <c r="W99" s="3" t="n">
        <v>603</v>
      </c>
      <c r="X99" s="3" t="n">
        <v>633</v>
      </c>
      <c r="Y99" s="5" t="n">
        <f aca="false">IFERROR(1-ABS(W99-X99)/X99,0)</f>
        <v>0.95260663507109</v>
      </c>
      <c r="Z99" s="6" t="n">
        <f aca="false">IFERROR(M99/((K99+N99)/2),0)</f>
        <v>17.6263736263736</v>
      </c>
    </row>
    <row r="100" customFormat="false" ht="15" hidden="false" customHeight="false" outlineLevel="0" collapsed="false">
      <c r="A100" s="2" t="n">
        <v>45749</v>
      </c>
      <c r="B100" s="3" t="s">
        <v>70</v>
      </c>
      <c r="C100" s="3" t="s">
        <v>71</v>
      </c>
      <c r="D100" s="3" t="n">
        <v>2025</v>
      </c>
      <c r="E100" s="3" t="s">
        <v>66</v>
      </c>
      <c r="F100" s="3" t="s">
        <v>67</v>
      </c>
      <c r="G100" s="3" t="s">
        <v>64</v>
      </c>
      <c r="H100" s="3" t="s">
        <v>61</v>
      </c>
      <c r="I100" s="3" t="s">
        <v>32</v>
      </c>
      <c r="J100" s="3" t="s">
        <v>33</v>
      </c>
      <c r="K100" s="3" t="n">
        <v>1173</v>
      </c>
      <c r="L100" s="3" t="n">
        <v>386</v>
      </c>
      <c r="M100" s="3" t="n">
        <v>663</v>
      </c>
      <c r="N100" s="3" t="n">
        <f aca="false">K100+L100-M100</f>
        <v>896</v>
      </c>
      <c r="O100" s="3" t="n">
        <v>372</v>
      </c>
      <c r="P100" s="3" t="str">
        <f aca="false">IF(N100&lt;=O100,"Reorder Needed","Sufficient")</f>
        <v>Sufficient</v>
      </c>
      <c r="Q100" s="3" t="n">
        <v>11</v>
      </c>
      <c r="R100" s="3" t="n">
        <v>901</v>
      </c>
      <c r="S100" s="3" t="str">
        <f aca="false">IF(T100&gt;Q100,"Delayed","On Time")</f>
        <v>On Time</v>
      </c>
      <c r="T100" s="3" t="n">
        <v>10</v>
      </c>
      <c r="U100" s="4" t="n">
        <v>4233.62</v>
      </c>
      <c r="V100" s="3" t="str">
        <f aca="false">IF(N100&lt;=0,"Yes","No")</f>
        <v>No</v>
      </c>
      <c r="W100" s="3" t="n">
        <v>101</v>
      </c>
      <c r="X100" s="3" t="n">
        <v>81</v>
      </c>
      <c r="Y100" s="5" t="n">
        <f aca="false">IFERROR(1-ABS(W100-X100)/X100,0)</f>
        <v>0.753086419753086</v>
      </c>
      <c r="Z100" s="6" t="n">
        <f aca="false">IFERROR(M100/((K100+N100)/2),0)</f>
        <v>0.640889318511358</v>
      </c>
    </row>
    <row r="101" customFormat="false" ht="15" hidden="false" customHeight="false" outlineLevel="0" collapsed="false">
      <c r="A101" s="2" t="n">
        <v>45757</v>
      </c>
      <c r="B101" s="3" t="s">
        <v>70</v>
      </c>
      <c r="C101" s="3" t="s">
        <v>71</v>
      </c>
      <c r="D101" s="3" t="n">
        <v>2025</v>
      </c>
      <c r="E101" s="3" t="s">
        <v>42</v>
      </c>
      <c r="F101" s="3" t="s">
        <v>43</v>
      </c>
      <c r="G101" s="3" t="s">
        <v>44</v>
      </c>
      <c r="H101" s="3" t="s">
        <v>61</v>
      </c>
      <c r="I101" s="3" t="s">
        <v>55</v>
      </c>
      <c r="J101" s="3" t="s">
        <v>56</v>
      </c>
      <c r="K101" s="3" t="n">
        <v>661</v>
      </c>
      <c r="L101" s="3" t="n">
        <v>671</v>
      </c>
      <c r="M101" s="3" t="n">
        <v>396</v>
      </c>
      <c r="N101" s="3" t="n">
        <f aca="false">K101+L101-M101</f>
        <v>936</v>
      </c>
      <c r="O101" s="3" t="n">
        <v>183</v>
      </c>
      <c r="P101" s="3" t="str">
        <f aca="false">IF(N101&lt;=O101,"Reorder Needed","Sufficient")</f>
        <v>Sufficient</v>
      </c>
      <c r="Q101" s="3" t="n">
        <v>16</v>
      </c>
      <c r="R101" s="3" t="n">
        <v>861</v>
      </c>
      <c r="S101" s="3" t="str">
        <f aca="false">IF(T101&gt;Q101,"Delayed","On Time")</f>
        <v>On Time</v>
      </c>
      <c r="T101" s="3" t="n">
        <v>13</v>
      </c>
      <c r="U101" s="4" t="n">
        <v>4506.36</v>
      </c>
      <c r="V101" s="3" t="str">
        <f aca="false">IF(N101&lt;=0,"Yes","No")</f>
        <v>No</v>
      </c>
      <c r="W101" s="3" t="n">
        <v>453</v>
      </c>
      <c r="X101" s="3" t="n">
        <v>556</v>
      </c>
      <c r="Y101" s="5" t="n">
        <f aca="false">IFERROR(1-ABS(W101-X101)/X101,0)</f>
        <v>0.814748201438849</v>
      </c>
      <c r="Z101" s="6" t="n">
        <f aca="false">IFERROR(M101/((K101+N101)/2),0)</f>
        <v>0.495929868503444</v>
      </c>
    </row>
    <row r="102" customFormat="false" ht="15" hidden="false" customHeight="false" outlineLevel="0" collapsed="false">
      <c r="A102" s="2" t="n">
        <v>45763</v>
      </c>
      <c r="B102" s="3" t="s">
        <v>70</v>
      </c>
      <c r="C102" s="3" t="s">
        <v>71</v>
      </c>
      <c r="D102" s="3" t="n">
        <v>2025</v>
      </c>
      <c r="E102" s="3" t="s">
        <v>34</v>
      </c>
      <c r="F102" s="3" t="s">
        <v>35</v>
      </c>
      <c r="G102" s="3" t="s">
        <v>36</v>
      </c>
      <c r="H102" s="3" t="s">
        <v>37</v>
      </c>
      <c r="I102" s="3" t="s">
        <v>41</v>
      </c>
      <c r="J102" s="3" t="s">
        <v>33</v>
      </c>
      <c r="K102" s="3" t="n">
        <v>790</v>
      </c>
      <c r="L102" s="3" t="n">
        <v>702</v>
      </c>
      <c r="M102" s="3" t="n">
        <v>810</v>
      </c>
      <c r="N102" s="3" t="n">
        <f aca="false">K102+L102-M102</f>
        <v>682</v>
      </c>
      <c r="O102" s="3" t="n">
        <v>170</v>
      </c>
      <c r="P102" s="3" t="str">
        <f aca="false">IF(N102&lt;=O102,"Reorder Needed","Sufficient")</f>
        <v>Sufficient</v>
      </c>
      <c r="Q102" s="3" t="n">
        <v>19</v>
      </c>
      <c r="R102" s="3" t="n">
        <v>520</v>
      </c>
      <c r="S102" s="3" t="str">
        <f aca="false">IF(T102&gt;Q102,"Delayed","On Time")</f>
        <v>On Time</v>
      </c>
      <c r="T102" s="3" t="n">
        <v>16</v>
      </c>
      <c r="U102" s="4" t="n">
        <v>7986.36</v>
      </c>
      <c r="V102" s="3" t="str">
        <f aca="false">IF(N102&lt;=0,"Yes","No")</f>
        <v>No</v>
      </c>
      <c r="W102" s="3" t="n">
        <v>591</v>
      </c>
      <c r="X102" s="3" t="n">
        <v>737</v>
      </c>
      <c r="Y102" s="5" t="n">
        <f aca="false">IFERROR(1-ABS(W102-X102)/X102,0)</f>
        <v>0.801899592944369</v>
      </c>
      <c r="Z102" s="6" t="n">
        <f aca="false">IFERROR(M102/((K102+N102)/2),0)</f>
        <v>1.10054347826087</v>
      </c>
    </row>
    <row r="103" customFormat="false" ht="15" hidden="false" customHeight="false" outlineLevel="0" collapsed="false">
      <c r="A103" s="2" t="n">
        <v>45770</v>
      </c>
      <c r="B103" s="3" t="s">
        <v>70</v>
      </c>
      <c r="C103" s="3" t="s">
        <v>71</v>
      </c>
      <c r="D103" s="3" t="n">
        <v>2025</v>
      </c>
      <c r="E103" s="3" t="s">
        <v>53</v>
      </c>
      <c r="F103" s="3" t="s">
        <v>54</v>
      </c>
      <c r="G103" s="3" t="s">
        <v>36</v>
      </c>
      <c r="H103" s="3" t="s">
        <v>74</v>
      </c>
      <c r="I103" s="3" t="s">
        <v>32</v>
      </c>
      <c r="J103" s="3" t="s">
        <v>33</v>
      </c>
      <c r="K103" s="3" t="n">
        <v>1238</v>
      </c>
      <c r="L103" s="3" t="n">
        <v>117</v>
      </c>
      <c r="M103" s="3" t="n">
        <v>439</v>
      </c>
      <c r="N103" s="3" t="n">
        <f aca="false">K103+L103-M103</f>
        <v>916</v>
      </c>
      <c r="O103" s="3" t="n">
        <v>160</v>
      </c>
      <c r="P103" s="3" t="str">
        <f aca="false">IF(N103&lt;=O103,"Reorder Needed","Sufficient")</f>
        <v>Sufficient</v>
      </c>
      <c r="Q103" s="3" t="n">
        <v>14</v>
      </c>
      <c r="R103" s="3" t="n">
        <v>277</v>
      </c>
      <c r="S103" s="3" t="str">
        <f aca="false">IF(T103&gt;Q103,"Delayed","On Time")</f>
        <v>On Time</v>
      </c>
      <c r="T103" s="3" t="n">
        <v>11</v>
      </c>
      <c r="U103" s="4" t="n">
        <v>10114.35</v>
      </c>
      <c r="V103" s="3" t="str">
        <f aca="false">IF(N103&lt;=0,"Yes","No")</f>
        <v>No</v>
      </c>
      <c r="W103" s="3" t="n">
        <v>328</v>
      </c>
      <c r="X103" s="3" t="n">
        <v>297</v>
      </c>
      <c r="Y103" s="5" t="n">
        <f aca="false">IFERROR(1-ABS(W103-X103)/X103,0)</f>
        <v>0.895622895622896</v>
      </c>
      <c r="Z103" s="6" t="n">
        <f aca="false">IFERROR(M103/((K103+N103)/2),0)</f>
        <v>0.40761374187558</v>
      </c>
    </row>
    <row r="104" customFormat="false" ht="15" hidden="false" customHeight="false" outlineLevel="0" collapsed="false">
      <c r="A104" s="2" t="n">
        <v>45772</v>
      </c>
      <c r="B104" s="3" t="s">
        <v>70</v>
      </c>
      <c r="C104" s="3" t="s">
        <v>71</v>
      </c>
      <c r="D104" s="3" t="n">
        <v>2025</v>
      </c>
      <c r="E104" s="3" t="s">
        <v>34</v>
      </c>
      <c r="F104" s="3" t="s">
        <v>35</v>
      </c>
      <c r="G104" s="3" t="s">
        <v>36</v>
      </c>
      <c r="H104" s="3" t="s">
        <v>37</v>
      </c>
      <c r="I104" s="3" t="s">
        <v>32</v>
      </c>
      <c r="J104" s="3" t="s">
        <v>33</v>
      </c>
      <c r="K104" s="3" t="n">
        <v>570</v>
      </c>
      <c r="L104" s="3" t="n">
        <v>57</v>
      </c>
      <c r="M104" s="3" t="n">
        <v>266</v>
      </c>
      <c r="N104" s="3" t="n">
        <f aca="false">K104+L104-M104</f>
        <v>361</v>
      </c>
      <c r="O104" s="3" t="n">
        <v>202</v>
      </c>
      <c r="P104" s="3" t="str">
        <f aca="false">IF(N104&lt;=O104,"Reorder Needed","Sufficient")</f>
        <v>Sufficient</v>
      </c>
      <c r="Q104" s="3" t="n">
        <v>12</v>
      </c>
      <c r="R104" s="3" t="n">
        <v>326</v>
      </c>
      <c r="S104" s="3" t="str">
        <f aca="false">IF(T104&gt;Q104,"Delayed","On Time")</f>
        <v>On Time</v>
      </c>
      <c r="T104" s="3" t="n">
        <v>11</v>
      </c>
      <c r="U104" s="4" t="n">
        <v>1716.68</v>
      </c>
      <c r="V104" s="3" t="str">
        <f aca="false">IF(N104&lt;=0,"Yes","No")</f>
        <v>No</v>
      </c>
      <c r="W104" s="3" t="n">
        <v>948</v>
      </c>
      <c r="X104" s="3" t="n">
        <v>1113</v>
      </c>
      <c r="Y104" s="5" t="n">
        <f aca="false">IFERROR(1-ABS(W104-X104)/X104,0)</f>
        <v>0.851752021563342</v>
      </c>
      <c r="Z104" s="6" t="n">
        <f aca="false">IFERROR(M104/((K104+N104)/2),0)</f>
        <v>0.571428571428571</v>
      </c>
    </row>
    <row r="105" customFormat="false" ht="15" hidden="false" customHeight="false" outlineLevel="0" collapsed="false">
      <c r="A105" s="2" t="n">
        <v>45774</v>
      </c>
      <c r="B105" s="3" t="s">
        <v>70</v>
      </c>
      <c r="C105" s="3" t="s">
        <v>71</v>
      </c>
      <c r="D105" s="3" t="n">
        <v>2025</v>
      </c>
      <c r="E105" s="3" t="s">
        <v>34</v>
      </c>
      <c r="F105" s="3" t="s">
        <v>35</v>
      </c>
      <c r="G105" s="3" t="s">
        <v>36</v>
      </c>
      <c r="H105" s="3" t="s">
        <v>37</v>
      </c>
      <c r="I105" s="3" t="s">
        <v>41</v>
      </c>
      <c r="J105" s="3" t="s">
        <v>33</v>
      </c>
      <c r="K105" s="3" t="n">
        <v>910</v>
      </c>
      <c r="L105" s="3" t="n">
        <v>295</v>
      </c>
      <c r="M105" s="3" t="n">
        <v>240</v>
      </c>
      <c r="N105" s="3" t="n">
        <f aca="false">K105+L105-M105</f>
        <v>965</v>
      </c>
      <c r="O105" s="3" t="n">
        <v>315</v>
      </c>
      <c r="P105" s="3" t="str">
        <f aca="false">IF(N105&lt;=O105,"Reorder Needed","Sufficient")</f>
        <v>Sufficient</v>
      </c>
      <c r="Q105" s="3" t="n">
        <v>3</v>
      </c>
      <c r="R105" s="3" t="n">
        <v>868</v>
      </c>
      <c r="S105" s="3" t="str">
        <f aca="false">IF(T105&gt;Q105,"Delayed","On Time")</f>
        <v>Delayed</v>
      </c>
      <c r="T105" s="3" t="n">
        <v>4</v>
      </c>
      <c r="U105" s="4" t="n">
        <v>13869.34</v>
      </c>
      <c r="V105" s="3" t="str">
        <f aca="false">IF(N105&lt;=0,"Yes","No")</f>
        <v>No</v>
      </c>
      <c r="W105" s="3" t="n">
        <v>1085</v>
      </c>
      <c r="X105" s="3" t="n">
        <v>1099</v>
      </c>
      <c r="Y105" s="5" t="n">
        <f aca="false">IFERROR(1-ABS(W105-X105)/X105,0)</f>
        <v>0.987261146496815</v>
      </c>
      <c r="Z105" s="6" t="n">
        <f aca="false">IFERROR(M105/((K105+N105)/2),0)</f>
        <v>0.256</v>
      </c>
    </row>
    <row r="106" customFormat="false" ht="15" hidden="false" customHeight="false" outlineLevel="0" collapsed="false">
      <c r="A106" s="2" t="n">
        <v>45776</v>
      </c>
      <c r="B106" s="3" t="s">
        <v>70</v>
      </c>
      <c r="C106" s="3" t="s">
        <v>71</v>
      </c>
      <c r="D106" s="3" t="n">
        <v>2025</v>
      </c>
      <c r="E106" s="3" t="s">
        <v>62</v>
      </c>
      <c r="F106" s="3" t="s">
        <v>63</v>
      </c>
      <c r="G106" s="3" t="s">
        <v>64</v>
      </c>
      <c r="H106" s="3" t="s">
        <v>85</v>
      </c>
      <c r="I106" s="3" t="s">
        <v>41</v>
      </c>
      <c r="J106" s="3" t="s">
        <v>33</v>
      </c>
      <c r="K106" s="3" t="n">
        <v>85</v>
      </c>
      <c r="L106" s="3" t="n">
        <v>365</v>
      </c>
      <c r="M106" s="3" t="n">
        <v>201</v>
      </c>
      <c r="N106" s="3" t="n">
        <f aca="false">K106+L106-M106</f>
        <v>249</v>
      </c>
      <c r="O106" s="3" t="n">
        <v>311</v>
      </c>
      <c r="P106" s="3" t="str">
        <f aca="false">IF(N106&lt;=O106,"Reorder Needed","Sufficient")</f>
        <v>Reorder Needed</v>
      </c>
      <c r="Q106" s="3" t="n">
        <v>21</v>
      </c>
      <c r="R106" s="3" t="n">
        <v>304</v>
      </c>
      <c r="S106" s="3" t="str">
        <f aca="false">IF(T106&gt;Q106,"Delayed","On Time")</f>
        <v>On Time</v>
      </c>
      <c r="T106" s="3" t="n">
        <v>18</v>
      </c>
      <c r="U106" s="4" t="n">
        <v>14615.2</v>
      </c>
      <c r="V106" s="3" t="str">
        <f aca="false">IF(N106&lt;=0,"Yes","No")</f>
        <v>No</v>
      </c>
      <c r="W106" s="3" t="n">
        <v>739</v>
      </c>
      <c r="X106" s="3" t="n">
        <v>650</v>
      </c>
      <c r="Y106" s="5" t="n">
        <f aca="false">IFERROR(1-ABS(W106-X106)/X106,0)</f>
        <v>0.863076923076923</v>
      </c>
      <c r="Z106" s="6" t="n">
        <f aca="false">IFERROR(M106/((K106+N106)/2),0)</f>
        <v>1.20359281437126</v>
      </c>
    </row>
    <row r="107" customFormat="false" ht="15" hidden="false" customHeight="false" outlineLevel="0" collapsed="false">
      <c r="A107" s="2" t="n">
        <v>45779</v>
      </c>
      <c r="B107" s="3" t="s">
        <v>79</v>
      </c>
      <c r="C107" s="3" t="s">
        <v>71</v>
      </c>
      <c r="D107" s="3" t="n">
        <v>2025</v>
      </c>
      <c r="E107" s="3" t="s">
        <v>53</v>
      </c>
      <c r="F107" s="3" t="s">
        <v>54</v>
      </c>
      <c r="G107" s="3" t="s">
        <v>36</v>
      </c>
      <c r="H107" s="3" t="s">
        <v>40</v>
      </c>
      <c r="I107" s="3" t="s">
        <v>38</v>
      </c>
      <c r="J107" s="3" t="s">
        <v>39</v>
      </c>
      <c r="K107" s="3" t="n">
        <v>672</v>
      </c>
      <c r="L107" s="3" t="n">
        <v>52</v>
      </c>
      <c r="M107" s="3" t="n">
        <v>599</v>
      </c>
      <c r="N107" s="3" t="n">
        <f aca="false">K107+L107-M107</f>
        <v>125</v>
      </c>
      <c r="O107" s="3" t="n">
        <v>315</v>
      </c>
      <c r="P107" s="3" t="str">
        <f aca="false">IF(N107&lt;=O107,"Reorder Needed","Sufficient")</f>
        <v>Reorder Needed</v>
      </c>
      <c r="Q107" s="3" t="n">
        <v>7</v>
      </c>
      <c r="R107" s="3" t="n">
        <v>725</v>
      </c>
      <c r="S107" s="3" t="str">
        <f aca="false">IF(T107&gt;Q107,"Delayed","On Time")</f>
        <v>Delayed</v>
      </c>
      <c r="T107" s="3" t="n">
        <v>10</v>
      </c>
      <c r="U107" s="4" t="n">
        <v>12421.89</v>
      </c>
      <c r="V107" s="3" t="str">
        <f aca="false">IF(N107&lt;=0,"Yes","No")</f>
        <v>No</v>
      </c>
      <c r="W107" s="3" t="n">
        <v>854</v>
      </c>
      <c r="X107" s="3" t="n">
        <v>643</v>
      </c>
      <c r="Y107" s="5" t="n">
        <f aca="false">IFERROR(1-ABS(W107-X107)/X107,0)</f>
        <v>0.671850699844479</v>
      </c>
      <c r="Z107" s="6" t="n">
        <f aca="false">IFERROR(M107/((K107+N107)/2),0)</f>
        <v>1.50313676286073</v>
      </c>
    </row>
    <row r="108" customFormat="false" ht="15" hidden="false" customHeight="false" outlineLevel="0" collapsed="false">
      <c r="A108" s="2" t="n">
        <v>45779</v>
      </c>
      <c r="B108" s="3" t="s">
        <v>79</v>
      </c>
      <c r="C108" s="3" t="s">
        <v>71</v>
      </c>
      <c r="D108" s="3" t="n">
        <v>2025</v>
      </c>
      <c r="E108" s="3" t="s">
        <v>28</v>
      </c>
      <c r="F108" s="3" t="s">
        <v>29</v>
      </c>
      <c r="G108" s="3" t="s">
        <v>30</v>
      </c>
      <c r="H108" s="3" t="s">
        <v>85</v>
      </c>
      <c r="I108" s="3" t="s">
        <v>55</v>
      </c>
      <c r="J108" s="3" t="s">
        <v>56</v>
      </c>
      <c r="K108" s="3" t="n">
        <v>821</v>
      </c>
      <c r="L108" s="3" t="n">
        <v>546</v>
      </c>
      <c r="M108" s="3" t="n">
        <v>1100</v>
      </c>
      <c r="N108" s="3" t="n">
        <f aca="false">K108+L108-M108</f>
        <v>267</v>
      </c>
      <c r="O108" s="3" t="n">
        <v>163</v>
      </c>
      <c r="P108" s="3" t="str">
        <f aca="false">IF(N108&lt;=O108,"Reorder Needed","Sufficient")</f>
        <v>Sufficient</v>
      </c>
      <c r="Q108" s="3" t="n">
        <v>15</v>
      </c>
      <c r="R108" s="3" t="n">
        <v>608</v>
      </c>
      <c r="S108" s="3" t="str">
        <f aca="false">IF(T108&gt;Q108,"Delayed","On Time")</f>
        <v>Delayed</v>
      </c>
      <c r="T108" s="3" t="n">
        <v>20</v>
      </c>
      <c r="U108" s="4" t="n">
        <v>4257.34</v>
      </c>
      <c r="V108" s="3" t="str">
        <f aca="false">IF(N108&lt;=0,"Yes","No")</f>
        <v>No</v>
      </c>
      <c r="W108" s="3" t="n">
        <v>586</v>
      </c>
      <c r="X108" s="3" t="n">
        <v>544</v>
      </c>
      <c r="Y108" s="5" t="n">
        <f aca="false">IFERROR(1-ABS(W108-X108)/X108,0)</f>
        <v>0.922794117647059</v>
      </c>
      <c r="Z108" s="6" t="n">
        <f aca="false">IFERROR(M108/((K108+N108)/2),0)</f>
        <v>2.02205882352941</v>
      </c>
    </row>
    <row r="109" customFormat="false" ht="15" hidden="false" customHeight="false" outlineLevel="0" collapsed="false">
      <c r="A109" s="2" t="n">
        <v>45787</v>
      </c>
      <c r="B109" s="3" t="s">
        <v>79</v>
      </c>
      <c r="C109" s="3" t="s">
        <v>71</v>
      </c>
      <c r="D109" s="3" t="n">
        <v>2025</v>
      </c>
      <c r="E109" s="3" t="s">
        <v>89</v>
      </c>
      <c r="F109" s="3" t="s">
        <v>90</v>
      </c>
      <c r="G109" s="3" t="s">
        <v>36</v>
      </c>
      <c r="H109" s="3" t="s">
        <v>31</v>
      </c>
      <c r="I109" s="3" t="s">
        <v>55</v>
      </c>
      <c r="J109" s="3" t="s">
        <v>56</v>
      </c>
      <c r="K109" s="3" t="n">
        <v>1089</v>
      </c>
      <c r="L109" s="3" t="n">
        <v>469</v>
      </c>
      <c r="M109" s="3" t="n">
        <v>156</v>
      </c>
      <c r="N109" s="3" t="n">
        <f aca="false">K109+L109-M109</f>
        <v>1402</v>
      </c>
      <c r="O109" s="3" t="n">
        <v>74</v>
      </c>
      <c r="P109" s="3" t="str">
        <f aca="false">IF(N109&lt;=O109,"Reorder Needed","Sufficient")</f>
        <v>Sufficient</v>
      </c>
      <c r="Q109" s="3" t="n">
        <v>12</v>
      </c>
      <c r="R109" s="3" t="n">
        <v>422</v>
      </c>
      <c r="S109" s="3" t="str">
        <f aca="false">IF(T109&gt;Q109,"Delayed","On Time")</f>
        <v>Delayed</v>
      </c>
      <c r="T109" s="3" t="n">
        <v>15</v>
      </c>
      <c r="U109" s="4" t="n">
        <v>12648.33</v>
      </c>
      <c r="V109" s="3" t="str">
        <f aca="false">IF(N109&lt;=0,"Yes","No")</f>
        <v>No</v>
      </c>
      <c r="W109" s="3" t="n">
        <v>1055</v>
      </c>
      <c r="X109" s="3" t="n">
        <v>1344</v>
      </c>
      <c r="Y109" s="5" t="n">
        <f aca="false">IFERROR(1-ABS(W109-X109)/X109,0)</f>
        <v>0.784970238095238</v>
      </c>
      <c r="Z109" s="6" t="n">
        <f aca="false">IFERROR(M109/((K109+N109)/2),0)</f>
        <v>0.125250903251706</v>
      </c>
    </row>
    <row r="110" customFormat="false" ht="15" hidden="false" customHeight="false" outlineLevel="0" collapsed="false">
      <c r="A110" s="2" t="n">
        <v>45789</v>
      </c>
      <c r="B110" s="3" t="s">
        <v>79</v>
      </c>
      <c r="C110" s="3" t="s">
        <v>71</v>
      </c>
      <c r="D110" s="3" t="n">
        <v>2025</v>
      </c>
      <c r="E110" s="3" t="s">
        <v>72</v>
      </c>
      <c r="F110" s="3" t="s">
        <v>73</v>
      </c>
      <c r="G110" s="3" t="s">
        <v>30</v>
      </c>
      <c r="H110" s="3" t="s">
        <v>61</v>
      </c>
      <c r="I110" s="3" t="s">
        <v>45</v>
      </c>
      <c r="J110" s="3" t="s">
        <v>46</v>
      </c>
      <c r="K110" s="3" t="n">
        <v>938</v>
      </c>
      <c r="L110" s="3" t="n">
        <v>105</v>
      </c>
      <c r="M110" s="3" t="n">
        <v>367</v>
      </c>
      <c r="N110" s="3" t="n">
        <f aca="false">K110+L110-M110</f>
        <v>676</v>
      </c>
      <c r="O110" s="3" t="n">
        <v>83</v>
      </c>
      <c r="P110" s="3" t="str">
        <f aca="false">IF(N110&lt;=O110,"Reorder Needed","Sufficient")</f>
        <v>Sufficient</v>
      </c>
      <c r="Q110" s="3" t="n">
        <v>4</v>
      </c>
      <c r="R110" s="3" t="n">
        <v>555</v>
      </c>
      <c r="S110" s="3" t="str">
        <f aca="false">IF(T110&gt;Q110,"Delayed","On Time")</f>
        <v>On Time</v>
      </c>
      <c r="T110" s="3" t="n">
        <v>1</v>
      </c>
      <c r="U110" s="4" t="n">
        <v>14038.1</v>
      </c>
      <c r="V110" s="3" t="str">
        <f aca="false">IF(N110&lt;=0,"Yes","No")</f>
        <v>No</v>
      </c>
      <c r="W110" s="3" t="n">
        <v>996</v>
      </c>
      <c r="X110" s="3" t="n">
        <v>903</v>
      </c>
      <c r="Y110" s="5" t="n">
        <f aca="false">IFERROR(1-ABS(W110-X110)/X110,0)</f>
        <v>0.897009966777409</v>
      </c>
      <c r="Z110" s="6" t="n">
        <f aca="false">IFERROR(M110/((K110+N110)/2),0)</f>
        <v>0.454770755885998</v>
      </c>
    </row>
    <row r="111" customFormat="false" ht="15" hidden="false" customHeight="false" outlineLevel="0" collapsed="false">
      <c r="A111" s="2" t="n">
        <v>45790</v>
      </c>
      <c r="B111" s="3" t="s">
        <v>79</v>
      </c>
      <c r="C111" s="3" t="s">
        <v>71</v>
      </c>
      <c r="D111" s="3" t="n">
        <v>2025</v>
      </c>
      <c r="E111" s="3" t="s">
        <v>62</v>
      </c>
      <c r="F111" s="3" t="s">
        <v>63</v>
      </c>
      <c r="G111" s="3" t="s">
        <v>64</v>
      </c>
      <c r="H111" s="3" t="s">
        <v>85</v>
      </c>
      <c r="I111" s="3" t="s">
        <v>41</v>
      </c>
      <c r="J111" s="3" t="s">
        <v>33</v>
      </c>
      <c r="K111" s="3" t="n">
        <v>1497</v>
      </c>
      <c r="L111" s="3" t="n">
        <v>514</v>
      </c>
      <c r="M111" s="3" t="n">
        <v>2227</v>
      </c>
      <c r="N111" s="3" t="n">
        <f aca="false">K111+L111-M111</f>
        <v>-216</v>
      </c>
      <c r="O111" s="3" t="n">
        <v>253</v>
      </c>
      <c r="P111" s="3" t="str">
        <f aca="false">IF(N111&lt;=O111,"Reorder Needed","Sufficient")</f>
        <v>Reorder Needed</v>
      </c>
      <c r="Q111" s="3" t="n">
        <v>4</v>
      </c>
      <c r="R111" s="3" t="n">
        <v>1000</v>
      </c>
      <c r="S111" s="3" t="str">
        <f aca="false">IF(T111&gt;Q111,"Delayed","On Time")</f>
        <v>Delayed</v>
      </c>
      <c r="T111" s="3" t="n">
        <v>9</v>
      </c>
      <c r="U111" s="4" t="n">
        <v>1045.13</v>
      </c>
      <c r="V111" s="3" t="str">
        <f aca="false">IF(N111&lt;=0,"Yes","No")</f>
        <v>Yes</v>
      </c>
      <c r="W111" s="3" t="n">
        <v>1267</v>
      </c>
      <c r="X111" s="3" t="n">
        <v>1124</v>
      </c>
      <c r="Y111" s="5" t="n">
        <f aca="false">IFERROR(1-ABS(W111-X111)/X111,0)</f>
        <v>0.872775800711744</v>
      </c>
      <c r="Z111" s="6" t="n">
        <f aca="false">IFERROR(M111/((K111+N111)/2),0)</f>
        <v>3.47697111631538</v>
      </c>
    </row>
    <row r="112" customFormat="false" ht="15" hidden="false" customHeight="false" outlineLevel="0" collapsed="false">
      <c r="A112" s="2" t="n">
        <v>45800</v>
      </c>
      <c r="B112" s="3" t="s">
        <v>79</v>
      </c>
      <c r="C112" s="3" t="s">
        <v>71</v>
      </c>
      <c r="D112" s="3" t="n">
        <v>2025</v>
      </c>
      <c r="E112" s="3" t="s">
        <v>58</v>
      </c>
      <c r="F112" s="3" t="s">
        <v>59</v>
      </c>
      <c r="G112" s="3" t="s">
        <v>60</v>
      </c>
      <c r="H112" s="3" t="s">
        <v>85</v>
      </c>
      <c r="I112" s="3" t="s">
        <v>38</v>
      </c>
      <c r="J112" s="3" t="s">
        <v>39</v>
      </c>
      <c r="K112" s="3" t="n">
        <v>586</v>
      </c>
      <c r="L112" s="3" t="n">
        <v>561</v>
      </c>
      <c r="M112" s="3" t="n">
        <v>287</v>
      </c>
      <c r="N112" s="3" t="n">
        <f aca="false">K112+L112-M112</f>
        <v>860</v>
      </c>
      <c r="O112" s="3" t="n">
        <v>164</v>
      </c>
      <c r="P112" s="3" t="str">
        <f aca="false">IF(N112&lt;=O112,"Reorder Needed","Sufficient")</f>
        <v>Sufficient</v>
      </c>
      <c r="Q112" s="3" t="n">
        <v>14</v>
      </c>
      <c r="R112" s="3" t="n">
        <v>622</v>
      </c>
      <c r="S112" s="3" t="str">
        <f aca="false">IF(T112&gt;Q112,"Delayed","On Time")</f>
        <v>Delayed</v>
      </c>
      <c r="T112" s="3" t="n">
        <v>17</v>
      </c>
      <c r="U112" s="4" t="n">
        <v>7349.7</v>
      </c>
      <c r="V112" s="3" t="str">
        <f aca="false">IF(N112&lt;=0,"Yes","No")</f>
        <v>No</v>
      </c>
      <c r="W112" s="3" t="n">
        <v>457</v>
      </c>
      <c r="X112" s="3" t="n">
        <v>494</v>
      </c>
      <c r="Y112" s="5" t="n">
        <f aca="false">IFERROR(1-ABS(W112-X112)/X112,0)</f>
        <v>0.925101214574899</v>
      </c>
      <c r="Z112" s="6" t="n">
        <f aca="false">IFERROR(M112/((K112+N112)/2),0)</f>
        <v>0.396957123098202</v>
      </c>
    </row>
    <row r="113" customFormat="false" ht="15" hidden="false" customHeight="false" outlineLevel="0" collapsed="false">
      <c r="A113" s="2" t="n">
        <v>45800</v>
      </c>
      <c r="B113" s="3" t="s">
        <v>79</v>
      </c>
      <c r="C113" s="3" t="s">
        <v>71</v>
      </c>
      <c r="D113" s="3" t="n">
        <v>2025</v>
      </c>
      <c r="E113" s="3" t="s">
        <v>66</v>
      </c>
      <c r="F113" s="3" t="s">
        <v>67</v>
      </c>
      <c r="G113" s="3" t="s">
        <v>64</v>
      </c>
      <c r="H113" s="3" t="s">
        <v>37</v>
      </c>
      <c r="I113" s="3" t="s">
        <v>55</v>
      </c>
      <c r="J113" s="3" t="s">
        <v>56</v>
      </c>
      <c r="K113" s="3" t="n">
        <v>251</v>
      </c>
      <c r="L113" s="3" t="n">
        <v>592</v>
      </c>
      <c r="M113" s="3" t="n">
        <v>592</v>
      </c>
      <c r="N113" s="3" t="n">
        <f aca="false">K113+L113-M113</f>
        <v>251</v>
      </c>
      <c r="O113" s="3" t="n">
        <v>388</v>
      </c>
      <c r="P113" s="3" t="str">
        <f aca="false">IF(N113&lt;=O113,"Reorder Needed","Sufficient")</f>
        <v>Reorder Needed</v>
      </c>
      <c r="Q113" s="3" t="n">
        <v>4</v>
      </c>
      <c r="R113" s="3" t="n">
        <v>973</v>
      </c>
      <c r="S113" s="3" t="str">
        <f aca="false">IF(T113&gt;Q113,"Delayed","On Time")</f>
        <v>On Time</v>
      </c>
      <c r="T113" s="3" t="n">
        <v>4</v>
      </c>
      <c r="U113" s="4" t="n">
        <v>2564.74</v>
      </c>
      <c r="V113" s="3" t="str">
        <f aca="false">IF(N113&lt;=0,"Yes","No")</f>
        <v>No</v>
      </c>
      <c r="W113" s="3" t="n">
        <v>432</v>
      </c>
      <c r="X113" s="3" t="n">
        <v>506</v>
      </c>
      <c r="Y113" s="5" t="n">
        <f aca="false">IFERROR(1-ABS(W113-X113)/X113,0)</f>
        <v>0.853754940711462</v>
      </c>
      <c r="Z113" s="6" t="n">
        <f aca="false">IFERROR(M113/((K113+N113)/2),0)</f>
        <v>2.35856573705179</v>
      </c>
    </row>
    <row r="114" customFormat="false" ht="15" hidden="false" customHeight="false" outlineLevel="0" collapsed="false">
      <c r="A114" s="2" t="n">
        <v>45801</v>
      </c>
      <c r="B114" s="3" t="s">
        <v>79</v>
      </c>
      <c r="C114" s="3" t="s">
        <v>71</v>
      </c>
      <c r="D114" s="3" t="n">
        <v>2025</v>
      </c>
      <c r="E114" s="3" t="s">
        <v>87</v>
      </c>
      <c r="F114" s="3" t="s">
        <v>88</v>
      </c>
      <c r="G114" s="3" t="s">
        <v>64</v>
      </c>
      <c r="H114" s="3" t="s">
        <v>65</v>
      </c>
      <c r="I114" s="3" t="s">
        <v>32</v>
      </c>
      <c r="J114" s="3" t="s">
        <v>33</v>
      </c>
      <c r="K114" s="3" t="n">
        <v>479</v>
      </c>
      <c r="L114" s="3" t="n">
        <v>342</v>
      </c>
      <c r="M114" s="3" t="n">
        <v>365</v>
      </c>
      <c r="N114" s="3" t="n">
        <f aca="false">K114+L114-M114</f>
        <v>456</v>
      </c>
      <c r="O114" s="3" t="n">
        <v>110</v>
      </c>
      <c r="P114" s="3" t="str">
        <f aca="false">IF(N114&lt;=O114,"Reorder Needed","Sufficient")</f>
        <v>Sufficient</v>
      </c>
      <c r="Q114" s="3" t="n">
        <v>19</v>
      </c>
      <c r="R114" s="3" t="n">
        <v>681</v>
      </c>
      <c r="S114" s="3" t="str">
        <f aca="false">IF(T114&gt;Q114,"Delayed","On Time")</f>
        <v>On Time</v>
      </c>
      <c r="T114" s="3" t="n">
        <v>17</v>
      </c>
      <c r="U114" s="4" t="n">
        <v>6948.93</v>
      </c>
      <c r="V114" s="3" t="str">
        <f aca="false">IF(N114&lt;=0,"Yes","No")</f>
        <v>No</v>
      </c>
      <c r="W114" s="3" t="n">
        <v>730</v>
      </c>
      <c r="X114" s="3" t="n">
        <v>613</v>
      </c>
      <c r="Y114" s="5" t="n">
        <f aca="false">IFERROR(1-ABS(W114-X114)/X114,0)</f>
        <v>0.809135399673736</v>
      </c>
      <c r="Z114" s="6" t="n">
        <f aca="false">IFERROR(M114/((K114+N114)/2),0)</f>
        <v>0.780748663101604</v>
      </c>
    </row>
    <row r="115" customFormat="false" ht="15" hidden="false" customHeight="false" outlineLevel="0" collapsed="false">
      <c r="A115" s="2" t="n">
        <v>45802</v>
      </c>
      <c r="B115" s="3" t="s">
        <v>79</v>
      </c>
      <c r="C115" s="3" t="s">
        <v>71</v>
      </c>
      <c r="D115" s="3" t="n">
        <v>2025</v>
      </c>
      <c r="E115" s="3" t="s">
        <v>58</v>
      </c>
      <c r="F115" s="3" t="s">
        <v>59</v>
      </c>
      <c r="G115" s="3" t="s">
        <v>60</v>
      </c>
      <c r="H115" s="3" t="s">
        <v>61</v>
      </c>
      <c r="I115" s="3" t="s">
        <v>55</v>
      </c>
      <c r="J115" s="3" t="s">
        <v>56</v>
      </c>
      <c r="K115" s="3" t="n">
        <v>122</v>
      </c>
      <c r="L115" s="3" t="n">
        <v>638</v>
      </c>
      <c r="M115" s="3" t="n">
        <v>77</v>
      </c>
      <c r="N115" s="3" t="n">
        <f aca="false">K115+L115-M115</f>
        <v>683</v>
      </c>
      <c r="O115" s="3" t="n">
        <v>147</v>
      </c>
      <c r="P115" s="3" t="str">
        <f aca="false">IF(N115&lt;=O115,"Reorder Needed","Sufficient")</f>
        <v>Sufficient</v>
      </c>
      <c r="Q115" s="3" t="n">
        <v>18</v>
      </c>
      <c r="R115" s="3" t="n">
        <v>753</v>
      </c>
      <c r="S115" s="3" t="str">
        <f aca="false">IF(T115&gt;Q115,"Delayed","On Time")</f>
        <v>Delayed</v>
      </c>
      <c r="T115" s="3" t="n">
        <v>22</v>
      </c>
      <c r="U115" s="4" t="n">
        <v>4041.1</v>
      </c>
      <c r="V115" s="3" t="str">
        <f aca="false">IF(N115&lt;=0,"Yes","No")</f>
        <v>No</v>
      </c>
      <c r="W115" s="3" t="n">
        <v>1428</v>
      </c>
      <c r="X115" s="3" t="n">
        <v>1367</v>
      </c>
      <c r="Y115" s="5" t="n">
        <f aca="false">IFERROR(1-ABS(W115-X115)/X115,0)</f>
        <v>0.955376737381127</v>
      </c>
      <c r="Z115" s="6" t="n">
        <f aca="false">IFERROR(M115/((K115+N115)/2),0)</f>
        <v>0.191304347826087</v>
      </c>
    </row>
    <row r="116" customFormat="false" ht="15" hidden="false" customHeight="false" outlineLevel="0" collapsed="false">
      <c r="A116" s="2" t="n">
        <v>45803</v>
      </c>
      <c r="B116" s="3" t="s">
        <v>79</v>
      </c>
      <c r="C116" s="3" t="s">
        <v>71</v>
      </c>
      <c r="D116" s="3" t="n">
        <v>2025</v>
      </c>
      <c r="E116" s="3" t="s">
        <v>62</v>
      </c>
      <c r="F116" s="3" t="s">
        <v>63</v>
      </c>
      <c r="G116" s="3" t="s">
        <v>64</v>
      </c>
      <c r="H116" s="3" t="s">
        <v>37</v>
      </c>
      <c r="I116" s="3" t="s">
        <v>41</v>
      </c>
      <c r="J116" s="3" t="s">
        <v>33</v>
      </c>
      <c r="K116" s="3" t="n">
        <v>1141</v>
      </c>
      <c r="L116" s="3" t="n">
        <v>442</v>
      </c>
      <c r="M116" s="3" t="n">
        <v>1004</v>
      </c>
      <c r="N116" s="3" t="n">
        <f aca="false">K116+L116-M116</f>
        <v>579</v>
      </c>
      <c r="O116" s="3" t="n">
        <v>235</v>
      </c>
      <c r="P116" s="3" t="str">
        <f aca="false">IF(N116&lt;=O116,"Reorder Needed","Sufficient")</f>
        <v>Sufficient</v>
      </c>
      <c r="Q116" s="3" t="n">
        <v>16</v>
      </c>
      <c r="R116" s="3" t="n">
        <v>641</v>
      </c>
      <c r="S116" s="3" t="str">
        <f aca="false">IF(T116&gt;Q116,"Delayed","On Time")</f>
        <v>Delayed</v>
      </c>
      <c r="T116" s="3" t="n">
        <v>18</v>
      </c>
      <c r="U116" s="4" t="n">
        <v>3031.53</v>
      </c>
      <c r="V116" s="3" t="str">
        <f aca="false">IF(N116&lt;=0,"Yes","No")</f>
        <v>No</v>
      </c>
      <c r="W116" s="3" t="n">
        <v>883</v>
      </c>
      <c r="X116" s="3" t="n">
        <v>800</v>
      </c>
      <c r="Y116" s="5" t="n">
        <f aca="false">IFERROR(1-ABS(W116-X116)/X116,0)</f>
        <v>0.89625</v>
      </c>
      <c r="Z116" s="6" t="n">
        <f aca="false">IFERROR(M116/((K116+N116)/2),0)</f>
        <v>1.16744186046512</v>
      </c>
    </row>
    <row r="117" customFormat="false" ht="15" hidden="false" customHeight="false" outlineLevel="0" collapsed="false">
      <c r="A117" s="2" t="n">
        <v>45804</v>
      </c>
      <c r="B117" s="3" t="s">
        <v>79</v>
      </c>
      <c r="C117" s="3" t="s">
        <v>71</v>
      </c>
      <c r="D117" s="3" t="n">
        <v>2025</v>
      </c>
      <c r="E117" s="3" t="s">
        <v>34</v>
      </c>
      <c r="F117" s="3" t="s">
        <v>35</v>
      </c>
      <c r="G117" s="3" t="s">
        <v>36</v>
      </c>
      <c r="H117" s="3" t="s">
        <v>65</v>
      </c>
      <c r="I117" s="3" t="s">
        <v>41</v>
      </c>
      <c r="J117" s="3" t="s">
        <v>33</v>
      </c>
      <c r="K117" s="3" t="n">
        <v>1080</v>
      </c>
      <c r="L117" s="3" t="n">
        <v>33</v>
      </c>
      <c r="M117" s="3" t="n">
        <v>247</v>
      </c>
      <c r="N117" s="3" t="n">
        <f aca="false">K117+L117-M117</f>
        <v>866</v>
      </c>
      <c r="O117" s="3" t="n">
        <v>179</v>
      </c>
      <c r="P117" s="3" t="str">
        <f aca="false">IF(N117&lt;=O117,"Reorder Needed","Sufficient")</f>
        <v>Sufficient</v>
      </c>
      <c r="Q117" s="3" t="n">
        <v>5</v>
      </c>
      <c r="R117" s="3" t="n">
        <v>713</v>
      </c>
      <c r="S117" s="3" t="str">
        <f aca="false">IF(T117&gt;Q117,"Delayed","On Time")</f>
        <v>Delayed</v>
      </c>
      <c r="T117" s="3" t="n">
        <v>9</v>
      </c>
      <c r="U117" s="4" t="n">
        <v>1107.48</v>
      </c>
      <c r="V117" s="3" t="str">
        <f aca="false">IF(N117&lt;=0,"Yes","No")</f>
        <v>No</v>
      </c>
      <c r="W117" s="3" t="n">
        <v>1596</v>
      </c>
      <c r="X117" s="3" t="n">
        <v>1324</v>
      </c>
      <c r="Y117" s="5" t="n">
        <f aca="false">IFERROR(1-ABS(W117-X117)/X117,0)</f>
        <v>0.794561933534743</v>
      </c>
      <c r="Z117" s="6" t="n">
        <f aca="false">IFERROR(M117/((K117+N117)/2),0)</f>
        <v>0.253854059609455</v>
      </c>
    </row>
    <row r="118" customFormat="false" ht="15" hidden="false" customHeight="false" outlineLevel="0" collapsed="false">
      <c r="A118" s="2" t="n">
        <v>45828</v>
      </c>
      <c r="B118" s="3" t="s">
        <v>80</v>
      </c>
      <c r="C118" s="3" t="s">
        <v>71</v>
      </c>
      <c r="D118" s="3" t="n">
        <v>2025</v>
      </c>
      <c r="E118" s="3" t="s">
        <v>58</v>
      </c>
      <c r="F118" s="3" t="s">
        <v>59</v>
      </c>
      <c r="G118" s="3" t="s">
        <v>60</v>
      </c>
      <c r="H118" s="3" t="s">
        <v>74</v>
      </c>
      <c r="I118" s="3" t="s">
        <v>41</v>
      </c>
      <c r="J118" s="3" t="s">
        <v>33</v>
      </c>
      <c r="K118" s="3" t="n">
        <v>473</v>
      </c>
      <c r="L118" s="3" t="n">
        <v>385</v>
      </c>
      <c r="M118" s="3" t="n">
        <v>225</v>
      </c>
      <c r="N118" s="3" t="n">
        <f aca="false">K118+L118-M118</f>
        <v>633</v>
      </c>
      <c r="O118" s="3" t="n">
        <v>396</v>
      </c>
      <c r="P118" s="3" t="str">
        <f aca="false">IF(N118&lt;=O118,"Reorder Needed","Sufficient")</f>
        <v>Sufficient</v>
      </c>
      <c r="Q118" s="3" t="n">
        <v>20</v>
      </c>
      <c r="R118" s="3" t="n">
        <v>150</v>
      </c>
      <c r="S118" s="3" t="str">
        <f aca="false">IF(T118&gt;Q118,"Delayed","On Time")</f>
        <v>On Time</v>
      </c>
      <c r="T118" s="3" t="n">
        <v>19</v>
      </c>
      <c r="U118" s="4" t="n">
        <v>11009.81</v>
      </c>
      <c r="V118" s="3" t="str">
        <f aca="false">IF(N118&lt;=0,"Yes","No")</f>
        <v>No</v>
      </c>
      <c r="W118" s="3" t="n">
        <v>920</v>
      </c>
      <c r="X118" s="3" t="n">
        <v>1178</v>
      </c>
      <c r="Y118" s="5" t="n">
        <f aca="false">IFERROR(1-ABS(W118-X118)/X118,0)</f>
        <v>0.780984719864177</v>
      </c>
      <c r="Z118" s="6" t="n">
        <f aca="false">IFERROR(M118/((K118+N118)/2),0)</f>
        <v>0.406871609403255</v>
      </c>
    </row>
    <row r="119" customFormat="false" ht="15" hidden="false" customHeight="false" outlineLevel="0" collapsed="false">
      <c r="A119" s="2" t="n">
        <v>45829</v>
      </c>
      <c r="B119" s="3" t="s">
        <v>80</v>
      </c>
      <c r="C119" s="3" t="s">
        <v>71</v>
      </c>
      <c r="D119" s="3" t="n">
        <v>2025</v>
      </c>
      <c r="E119" s="3" t="s">
        <v>89</v>
      </c>
      <c r="F119" s="3" t="s">
        <v>90</v>
      </c>
      <c r="G119" s="3" t="s">
        <v>36</v>
      </c>
      <c r="H119" s="3" t="s">
        <v>37</v>
      </c>
      <c r="I119" s="3" t="s">
        <v>55</v>
      </c>
      <c r="J119" s="3" t="s">
        <v>56</v>
      </c>
      <c r="K119" s="3" t="n">
        <v>1366</v>
      </c>
      <c r="L119" s="3" t="n">
        <v>126</v>
      </c>
      <c r="M119" s="3" t="n">
        <v>799</v>
      </c>
      <c r="N119" s="3" t="n">
        <f aca="false">K119+L119-M119</f>
        <v>693</v>
      </c>
      <c r="O119" s="3" t="n">
        <v>86</v>
      </c>
      <c r="P119" s="3" t="str">
        <f aca="false">IF(N119&lt;=O119,"Reorder Needed","Sufficient")</f>
        <v>Sufficient</v>
      </c>
      <c r="Q119" s="3" t="n">
        <v>18</v>
      </c>
      <c r="R119" s="3" t="n">
        <v>292</v>
      </c>
      <c r="S119" s="3" t="str">
        <f aca="false">IF(T119&gt;Q119,"Delayed","On Time")</f>
        <v>Delayed</v>
      </c>
      <c r="T119" s="3" t="n">
        <v>22</v>
      </c>
      <c r="U119" s="4" t="n">
        <v>5014.26</v>
      </c>
      <c r="V119" s="3" t="str">
        <f aca="false">IF(N119&lt;=0,"Yes","No")</f>
        <v>No</v>
      </c>
      <c r="W119" s="3" t="n">
        <v>411</v>
      </c>
      <c r="X119" s="3" t="n">
        <v>323</v>
      </c>
      <c r="Y119" s="5" t="n">
        <f aca="false">IFERROR(1-ABS(W119-X119)/X119,0)</f>
        <v>0.727554179566563</v>
      </c>
      <c r="Z119" s="6" t="n">
        <f aca="false">IFERROR(M119/((K119+N119)/2),0)</f>
        <v>0.776104905293832</v>
      </c>
    </row>
    <row r="120" customFormat="false" ht="15" hidden="false" customHeight="false" outlineLevel="0" collapsed="false">
      <c r="A120" s="2" t="n">
        <v>45832</v>
      </c>
      <c r="B120" s="3" t="s">
        <v>80</v>
      </c>
      <c r="C120" s="3" t="s">
        <v>71</v>
      </c>
      <c r="D120" s="3" t="n">
        <v>2025</v>
      </c>
      <c r="E120" s="3" t="s">
        <v>42</v>
      </c>
      <c r="F120" s="3" t="s">
        <v>43</v>
      </c>
      <c r="G120" s="3" t="s">
        <v>44</v>
      </c>
      <c r="H120" s="3" t="s">
        <v>37</v>
      </c>
      <c r="I120" s="3" t="s">
        <v>45</v>
      </c>
      <c r="J120" s="3" t="s">
        <v>46</v>
      </c>
      <c r="K120" s="3" t="n">
        <v>963</v>
      </c>
      <c r="L120" s="3" t="n">
        <v>344</v>
      </c>
      <c r="M120" s="3" t="n">
        <v>797</v>
      </c>
      <c r="N120" s="3" t="n">
        <f aca="false">K120+L120-M120</f>
        <v>510</v>
      </c>
      <c r="O120" s="3" t="n">
        <v>388</v>
      </c>
      <c r="P120" s="3" t="str">
        <f aca="false">IF(N120&lt;=O120,"Reorder Needed","Sufficient")</f>
        <v>Sufficient</v>
      </c>
      <c r="Q120" s="3" t="n">
        <v>5</v>
      </c>
      <c r="R120" s="3" t="n">
        <v>524</v>
      </c>
      <c r="S120" s="3" t="str">
        <f aca="false">IF(T120&gt;Q120,"Delayed","On Time")</f>
        <v>Delayed</v>
      </c>
      <c r="T120" s="3" t="n">
        <v>10</v>
      </c>
      <c r="U120" s="4" t="n">
        <v>1470.09</v>
      </c>
      <c r="V120" s="3" t="str">
        <f aca="false">IF(N120&lt;=0,"Yes","No")</f>
        <v>No</v>
      </c>
      <c r="W120" s="3" t="n">
        <v>828</v>
      </c>
      <c r="X120" s="3" t="n">
        <v>670</v>
      </c>
      <c r="Y120" s="5" t="n">
        <f aca="false">IFERROR(1-ABS(W120-X120)/X120,0)</f>
        <v>0.764179104477612</v>
      </c>
      <c r="Z120" s="6" t="n">
        <f aca="false">IFERROR(M120/((K120+N120)/2),0)</f>
        <v>1.08214528173795</v>
      </c>
    </row>
    <row r="121" customFormat="false" ht="15" hidden="false" customHeight="false" outlineLevel="0" collapsed="false">
      <c r="A121" s="2" t="n">
        <v>45833</v>
      </c>
      <c r="B121" s="3" t="s">
        <v>80</v>
      </c>
      <c r="C121" s="3" t="s">
        <v>71</v>
      </c>
      <c r="D121" s="3" t="n">
        <v>2025</v>
      </c>
      <c r="E121" s="3" t="s">
        <v>66</v>
      </c>
      <c r="F121" s="3" t="s">
        <v>67</v>
      </c>
      <c r="G121" s="3" t="s">
        <v>64</v>
      </c>
      <c r="H121" s="3" t="s">
        <v>65</v>
      </c>
      <c r="I121" s="3" t="s">
        <v>38</v>
      </c>
      <c r="J121" s="3" t="s">
        <v>39</v>
      </c>
      <c r="K121" s="3" t="n">
        <v>477</v>
      </c>
      <c r="L121" s="3" t="n">
        <v>674</v>
      </c>
      <c r="M121" s="3" t="n">
        <v>253</v>
      </c>
      <c r="N121" s="3" t="n">
        <f aca="false">K121+L121-M121</f>
        <v>898</v>
      </c>
      <c r="O121" s="3" t="n">
        <v>144</v>
      </c>
      <c r="P121" s="3" t="str">
        <f aca="false">IF(N121&lt;=O121,"Reorder Needed","Sufficient")</f>
        <v>Sufficient</v>
      </c>
      <c r="Q121" s="3" t="n">
        <v>19</v>
      </c>
      <c r="R121" s="3" t="n">
        <v>263</v>
      </c>
      <c r="S121" s="3" t="str">
        <f aca="false">IF(T121&gt;Q121,"Delayed","On Time")</f>
        <v>Delayed</v>
      </c>
      <c r="T121" s="3" t="n">
        <v>21</v>
      </c>
      <c r="U121" s="4" t="n">
        <v>6958.94</v>
      </c>
      <c r="V121" s="3" t="str">
        <f aca="false">IF(N121&lt;=0,"Yes","No")</f>
        <v>No</v>
      </c>
      <c r="W121" s="3" t="n">
        <v>1425</v>
      </c>
      <c r="X121" s="3" t="n">
        <v>1415</v>
      </c>
      <c r="Y121" s="5" t="n">
        <f aca="false">IFERROR(1-ABS(W121-X121)/X121,0)</f>
        <v>0.992932862190813</v>
      </c>
      <c r="Z121" s="6" t="n">
        <f aca="false">IFERROR(M121/((K121+N121)/2),0)</f>
        <v>0.368</v>
      </c>
    </row>
    <row r="122" customFormat="false" ht="15" hidden="false" customHeight="false" outlineLevel="0" collapsed="false">
      <c r="A122" s="2" t="n">
        <v>45833</v>
      </c>
      <c r="B122" s="3" t="s">
        <v>80</v>
      </c>
      <c r="C122" s="3" t="s">
        <v>71</v>
      </c>
      <c r="D122" s="3" t="n">
        <v>2025</v>
      </c>
      <c r="E122" s="3" t="s">
        <v>83</v>
      </c>
      <c r="F122" s="3" t="s">
        <v>84</v>
      </c>
      <c r="G122" s="3" t="s">
        <v>60</v>
      </c>
      <c r="H122" s="3" t="s">
        <v>65</v>
      </c>
      <c r="I122" s="3" t="s">
        <v>45</v>
      </c>
      <c r="J122" s="3" t="s">
        <v>46</v>
      </c>
      <c r="K122" s="3" t="n">
        <v>828</v>
      </c>
      <c r="L122" s="3" t="n">
        <v>763</v>
      </c>
      <c r="M122" s="3" t="n">
        <v>1819</v>
      </c>
      <c r="N122" s="3" t="n">
        <f aca="false">K122+L122-M122</f>
        <v>-228</v>
      </c>
      <c r="O122" s="3" t="n">
        <v>84</v>
      </c>
      <c r="P122" s="3" t="str">
        <f aca="false">IF(N122&lt;=O122,"Reorder Needed","Sufficient")</f>
        <v>Reorder Needed</v>
      </c>
      <c r="Q122" s="3" t="n">
        <v>3</v>
      </c>
      <c r="R122" s="3" t="n">
        <v>958</v>
      </c>
      <c r="S122" s="3" t="str">
        <f aca="false">IF(T122&gt;Q122,"Delayed","On Time")</f>
        <v>On Time</v>
      </c>
      <c r="T122" s="3" t="n">
        <v>2</v>
      </c>
      <c r="U122" s="4" t="n">
        <v>8936.72</v>
      </c>
      <c r="V122" s="3" t="str">
        <f aca="false">IF(N122&lt;=0,"Yes","No")</f>
        <v>Yes</v>
      </c>
      <c r="W122" s="3" t="n">
        <v>1562</v>
      </c>
      <c r="X122" s="3" t="n">
        <v>1739</v>
      </c>
      <c r="Y122" s="5" t="n">
        <f aca="false">IFERROR(1-ABS(W122-X122)/X122,0)</f>
        <v>0.898217366302473</v>
      </c>
      <c r="Z122" s="6" t="n">
        <f aca="false">IFERROR(M122/((K122+N122)/2),0)</f>
        <v>6.06333333333333</v>
      </c>
    </row>
    <row r="123" customFormat="false" ht="15" hidden="false" customHeight="false" outlineLevel="0" collapsed="false">
      <c r="A123" s="2" t="n">
        <v>45847</v>
      </c>
      <c r="B123" s="3" t="s">
        <v>81</v>
      </c>
      <c r="C123" s="3" t="s">
        <v>82</v>
      </c>
      <c r="D123" s="3" t="n">
        <v>2025</v>
      </c>
      <c r="E123" s="3" t="s">
        <v>75</v>
      </c>
      <c r="F123" s="3" t="s">
        <v>76</v>
      </c>
      <c r="G123" s="3" t="s">
        <v>36</v>
      </c>
      <c r="H123" s="3" t="s">
        <v>37</v>
      </c>
      <c r="I123" s="3" t="s">
        <v>38</v>
      </c>
      <c r="J123" s="3" t="s">
        <v>39</v>
      </c>
      <c r="K123" s="3" t="n">
        <v>1178</v>
      </c>
      <c r="L123" s="3" t="n">
        <v>23</v>
      </c>
      <c r="M123" s="3" t="n">
        <v>124</v>
      </c>
      <c r="N123" s="3" t="n">
        <f aca="false">K123+L123-M123</f>
        <v>1077</v>
      </c>
      <c r="O123" s="3" t="n">
        <v>314</v>
      </c>
      <c r="P123" s="3" t="str">
        <f aca="false">IF(N123&lt;=O123,"Reorder Needed","Sufficient")</f>
        <v>Sufficient</v>
      </c>
      <c r="Q123" s="3" t="n">
        <v>21</v>
      </c>
      <c r="R123" s="3" t="n">
        <v>158</v>
      </c>
      <c r="S123" s="3" t="str">
        <f aca="false">IF(T123&gt;Q123,"Delayed","On Time")</f>
        <v>Delayed</v>
      </c>
      <c r="T123" s="3" t="n">
        <v>27</v>
      </c>
      <c r="U123" s="4" t="n">
        <v>1084.19</v>
      </c>
      <c r="V123" s="3" t="str">
        <f aca="false">IF(N123&lt;=0,"Yes","No")</f>
        <v>No</v>
      </c>
      <c r="W123" s="3" t="n">
        <v>1531</v>
      </c>
      <c r="X123" s="3" t="n">
        <v>1349</v>
      </c>
      <c r="Y123" s="5" t="n">
        <f aca="false">IFERROR(1-ABS(W123-X123)/X123,0)</f>
        <v>0.865085248332098</v>
      </c>
      <c r="Z123" s="6" t="n">
        <f aca="false">IFERROR(M123/((K123+N123)/2),0)</f>
        <v>0.109977827050998</v>
      </c>
    </row>
    <row r="124" customFormat="false" ht="15" hidden="false" customHeight="false" outlineLevel="0" collapsed="false">
      <c r="A124" s="2" t="n">
        <v>45847</v>
      </c>
      <c r="B124" s="3" t="s">
        <v>81</v>
      </c>
      <c r="C124" s="3" t="s">
        <v>82</v>
      </c>
      <c r="D124" s="3" t="n">
        <v>2025</v>
      </c>
      <c r="E124" s="3" t="s">
        <v>87</v>
      </c>
      <c r="F124" s="3" t="s">
        <v>88</v>
      </c>
      <c r="G124" s="3" t="s">
        <v>64</v>
      </c>
      <c r="H124" s="3" t="s">
        <v>85</v>
      </c>
      <c r="I124" s="3" t="s">
        <v>55</v>
      </c>
      <c r="J124" s="3" t="s">
        <v>56</v>
      </c>
      <c r="K124" s="3" t="n">
        <v>379</v>
      </c>
      <c r="L124" s="3" t="n">
        <v>444</v>
      </c>
      <c r="M124" s="3" t="n">
        <v>433</v>
      </c>
      <c r="N124" s="3" t="n">
        <f aca="false">K124+L124-M124</f>
        <v>390</v>
      </c>
      <c r="O124" s="3" t="n">
        <v>104</v>
      </c>
      <c r="P124" s="3" t="str">
        <f aca="false">IF(N124&lt;=O124,"Reorder Needed","Sufficient")</f>
        <v>Sufficient</v>
      </c>
      <c r="Q124" s="3" t="n">
        <v>6</v>
      </c>
      <c r="R124" s="3" t="n">
        <v>541</v>
      </c>
      <c r="S124" s="3" t="str">
        <f aca="false">IF(T124&gt;Q124,"Delayed","On Time")</f>
        <v>Delayed</v>
      </c>
      <c r="T124" s="3" t="n">
        <v>8</v>
      </c>
      <c r="U124" s="4" t="n">
        <v>3556.81</v>
      </c>
      <c r="V124" s="3" t="str">
        <f aca="false">IF(N124&lt;=0,"Yes","No")</f>
        <v>No</v>
      </c>
      <c r="W124" s="3" t="n">
        <v>1307</v>
      </c>
      <c r="X124" s="3" t="n">
        <v>1304</v>
      </c>
      <c r="Y124" s="5" t="n">
        <f aca="false">IFERROR(1-ABS(W124-X124)/X124,0)</f>
        <v>0.997699386503067</v>
      </c>
      <c r="Z124" s="6" t="n">
        <f aca="false">IFERROR(M124/((K124+N124)/2),0)</f>
        <v>1.12613784135241</v>
      </c>
    </row>
    <row r="125" customFormat="false" ht="15" hidden="false" customHeight="false" outlineLevel="0" collapsed="false">
      <c r="A125" s="2" t="n">
        <v>45854</v>
      </c>
      <c r="B125" s="3" t="s">
        <v>81</v>
      </c>
      <c r="C125" s="3" t="s">
        <v>82</v>
      </c>
      <c r="D125" s="3" t="n">
        <v>2025</v>
      </c>
      <c r="E125" s="3" t="s">
        <v>66</v>
      </c>
      <c r="F125" s="3" t="s">
        <v>67</v>
      </c>
      <c r="G125" s="3" t="s">
        <v>64</v>
      </c>
      <c r="H125" s="3" t="s">
        <v>52</v>
      </c>
      <c r="I125" s="3" t="s">
        <v>32</v>
      </c>
      <c r="J125" s="3" t="s">
        <v>33</v>
      </c>
      <c r="K125" s="3" t="n">
        <v>165</v>
      </c>
      <c r="L125" s="3" t="n">
        <v>768</v>
      </c>
      <c r="M125" s="3" t="n">
        <v>150</v>
      </c>
      <c r="N125" s="3" t="n">
        <f aca="false">K125+L125-M125</f>
        <v>783</v>
      </c>
      <c r="O125" s="3" t="n">
        <v>62</v>
      </c>
      <c r="P125" s="3" t="str">
        <f aca="false">IF(N125&lt;=O125,"Reorder Needed","Sufficient")</f>
        <v>Sufficient</v>
      </c>
      <c r="Q125" s="3" t="n">
        <v>4</v>
      </c>
      <c r="R125" s="3" t="n">
        <v>822</v>
      </c>
      <c r="S125" s="3" t="str">
        <f aca="false">IF(T125&gt;Q125,"Delayed","On Time")</f>
        <v>Delayed</v>
      </c>
      <c r="T125" s="3" t="n">
        <v>9</v>
      </c>
      <c r="U125" s="4" t="n">
        <v>11026.7</v>
      </c>
      <c r="V125" s="3" t="str">
        <f aca="false">IF(N125&lt;=0,"Yes","No")</f>
        <v>No</v>
      </c>
      <c r="W125" s="3" t="n">
        <v>1441</v>
      </c>
      <c r="X125" s="3" t="n">
        <v>1692</v>
      </c>
      <c r="Y125" s="5" t="n">
        <f aca="false">IFERROR(1-ABS(W125-X125)/X125,0)</f>
        <v>0.851654846335697</v>
      </c>
      <c r="Z125" s="6" t="n">
        <f aca="false">IFERROR(M125/((K125+N125)/2),0)</f>
        <v>0.316455696202532</v>
      </c>
    </row>
    <row r="126" customFormat="false" ht="15" hidden="false" customHeight="false" outlineLevel="0" collapsed="false">
      <c r="A126" s="2" t="n">
        <v>45871</v>
      </c>
      <c r="B126" s="3" t="s">
        <v>86</v>
      </c>
      <c r="C126" s="3" t="s">
        <v>82</v>
      </c>
      <c r="D126" s="3" t="n">
        <v>2025</v>
      </c>
      <c r="E126" s="3" t="s">
        <v>68</v>
      </c>
      <c r="F126" s="3" t="s">
        <v>69</v>
      </c>
      <c r="G126" s="3" t="s">
        <v>60</v>
      </c>
      <c r="H126" s="3" t="s">
        <v>37</v>
      </c>
      <c r="I126" s="3" t="s">
        <v>38</v>
      </c>
      <c r="J126" s="3" t="s">
        <v>39</v>
      </c>
      <c r="K126" s="3" t="n">
        <v>191</v>
      </c>
      <c r="L126" s="3" t="n">
        <v>154</v>
      </c>
      <c r="M126" s="3" t="n">
        <v>393</v>
      </c>
      <c r="N126" s="3" t="n">
        <f aca="false">K126+L126-M126</f>
        <v>-48</v>
      </c>
      <c r="O126" s="3" t="n">
        <v>173</v>
      </c>
      <c r="P126" s="3" t="str">
        <f aca="false">IF(N126&lt;=O126,"Reorder Needed","Sufficient")</f>
        <v>Reorder Needed</v>
      </c>
      <c r="Q126" s="3" t="n">
        <v>7</v>
      </c>
      <c r="R126" s="3" t="n">
        <v>901</v>
      </c>
      <c r="S126" s="3" t="str">
        <f aca="false">IF(T126&gt;Q126,"Delayed","On Time")</f>
        <v>Delayed</v>
      </c>
      <c r="T126" s="3" t="n">
        <v>13</v>
      </c>
      <c r="U126" s="4" t="n">
        <v>4835.38</v>
      </c>
      <c r="V126" s="3" t="str">
        <f aca="false">IF(N126&lt;=0,"Yes","No")</f>
        <v>Yes</v>
      </c>
      <c r="W126" s="3" t="n">
        <v>1574</v>
      </c>
      <c r="X126" s="3" t="n">
        <v>1276</v>
      </c>
      <c r="Y126" s="5" t="n">
        <f aca="false">IFERROR(1-ABS(W126-X126)/X126,0)</f>
        <v>0.766457680250784</v>
      </c>
      <c r="Z126" s="6" t="n">
        <f aca="false">IFERROR(M126/((K126+N126)/2),0)</f>
        <v>5.4965034965035</v>
      </c>
    </row>
    <row r="127" customFormat="false" ht="15" hidden="false" customHeight="false" outlineLevel="0" collapsed="false">
      <c r="A127" s="2" t="n">
        <v>45872</v>
      </c>
      <c r="B127" s="3" t="s">
        <v>86</v>
      </c>
      <c r="C127" s="3" t="s">
        <v>82</v>
      </c>
      <c r="D127" s="3" t="n">
        <v>2025</v>
      </c>
      <c r="E127" s="3" t="s">
        <v>72</v>
      </c>
      <c r="F127" s="3" t="s">
        <v>73</v>
      </c>
      <c r="G127" s="3" t="s">
        <v>30</v>
      </c>
      <c r="H127" s="3" t="s">
        <v>31</v>
      </c>
      <c r="I127" s="3" t="s">
        <v>55</v>
      </c>
      <c r="J127" s="3" t="s">
        <v>56</v>
      </c>
      <c r="K127" s="3" t="n">
        <v>616</v>
      </c>
      <c r="L127" s="3" t="n">
        <v>649</v>
      </c>
      <c r="M127" s="3" t="n">
        <v>805</v>
      </c>
      <c r="N127" s="3" t="n">
        <f aca="false">K127+L127-M127</f>
        <v>460</v>
      </c>
      <c r="O127" s="3" t="n">
        <v>313</v>
      </c>
      <c r="P127" s="3" t="str">
        <f aca="false">IF(N127&lt;=O127,"Reorder Needed","Sufficient")</f>
        <v>Sufficient</v>
      </c>
      <c r="Q127" s="3" t="n">
        <v>8</v>
      </c>
      <c r="R127" s="3" t="n">
        <v>159</v>
      </c>
      <c r="S127" s="3" t="str">
        <f aca="false">IF(T127&gt;Q127,"Delayed","On Time")</f>
        <v>On Time</v>
      </c>
      <c r="T127" s="3" t="n">
        <v>5</v>
      </c>
      <c r="U127" s="4" t="n">
        <v>6970.44</v>
      </c>
      <c r="V127" s="3" t="str">
        <f aca="false">IF(N127&lt;=0,"Yes","No")</f>
        <v>No</v>
      </c>
      <c r="W127" s="3" t="n">
        <v>596</v>
      </c>
      <c r="X127" s="3" t="n">
        <v>725</v>
      </c>
      <c r="Y127" s="5" t="n">
        <f aca="false">IFERROR(1-ABS(W127-X127)/X127,0)</f>
        <v>0.822068965517241</v>
      </c>
      <c r="Z127" s="6" t="n">
        <f aca="false">IFERROR(M127/((K127+N127)/2),0)</f>
        <v>1.49628252788104</v>
      </c>
    </row>
    <row r="128" customFormat="false" ht="15" hidden="false" customHeight="false" outlineLevel="0" collapsed="false">
      <c r="A128" s="2" t="n">
        <v>45877</v>
      </c>
      <c r="B128" s="3" t="s">
        <v>86</v>
      </c>
      <c r="C128" s="3" t="s">
        <v>82</v>
      </c>
      <c r="D128" s="3" t="n">
        <v>2025</v>
      </c>
      <c r="E128" s="3" t="s">
        <v>53</v>
      </c>
      <c r="F128" s="3" t="s">
        <v>54</v>
      </c>
      <c r="G128" s="3" t="s">
        <v>36</v>
      </c>
      <c r="H128" s="3" t="s">
        <v>61</v>
      </c>
      <c r="I128" s="3" t="s">
        <v>55</v>
      </c>
      <c r="J128" s="3" t="s">
        <v>56</v>
      </c>
      <c r="K128" s="3" t="n">
        <v>1371</v>
      </c>
      <c r="L128" s="3" t="n">
        <v>260</v>
      </c>
      <c r="M128" s="3" t="n">
        <v>972</v>
      </c>
      <c r="N128" s="3" t="n">
        <f aca="false">K128+L128-M128</f>
        <v>659</v>
      </c>
      <c r="O128" s="3" t="n">
        <v>260</v>
      </c>
      <c r="P128" s="3" t="str">
        <f aca="false">IF(N128&lt;=O128,"Reorder Needed","Sufficient")</f>
        <v>Sufficient</v>
      </c>
      <c r="Q128" s="3" t="n">
        <v>15</v>
      </c>
      <c r="R128" s="3" t="n">
        <v>977</v>
      </c>
      <c r="S128" s="3" t="str">
        <f aca="false">IF(T128&gt;Q128,"Delayed","On Time")</f>
        <v>Delayed</v>
      </c>
      <c r="T128" s="3" t="n">
        <v>16</v>
      </c>
      <c r="U128" s="4" t="n">
        <v>3560.29</v>
      </c>
      <c r="V128" s="3" t="str">
        <f aca="false">IF(N128&lt;=0,"Yes","No")</f>
        <v>No</v>
      </c>
      <c r="W128" s="3" t="n">
        <v>1269</v>
      </c>
      <c r="X128" s="3" t="n">
        <v>1550</v>
      </c>
      <c r="Y128" s="5" t="n">
        <f aca="false">IFERROR(1-ABS(W128-X128)/X128,0)</f>
        <v>0.818709677419355</v>
      </c>
      <c r="Z128" s="6" t="n">
        <f aca="false">IFERROR(M128/((K128+N128)/2),0)</f>
        <v>0.957635467980296</v>
      </c>
    </row>
    <row r="129" customFormat="false" ht="15" hidden="false" customHeight="false" outlineLevel="0" collapsed="false">
      <c r="A129" s="2" t="n">
        <v>45888</v>
      </c>
      <c r="B129" s="3" t="s">
        <v>86</v>
      </c>
      <c r="C129" s="3" t="s">
        <v>82</v>
      </c>
      <c r="D129" s="3" t="n">
        <v>2025</v>
      </c>
      <c r="E129" s="3" t="s">
        <v>62</v>
      </c>
      <c r="F129" s="3" t="s">
        <v>63</v>
      </c>
      <c r="G129" s="3" t="s">
        <v>64</v>
      </c>
      <c r="H129" s="3" t="s">
        <v>31</v>
      </c>
      <c r="I129" s="3" t="s">
        <v>55</v>
      </c>
      <c r="J129" s="3" t="s">
        <v>56</v>
      </c>
      <c r="K129" s="3" t="n">
        <v>1330</v>
      </c>
      <c r="L129" s="3" t="n">
        <v>435</v>
      </c>
      <c r="M129" s="3" t="n">
        <v>410</v>
      </c>
      <c r="N129" s="3" t="n">
        <f aca="false">K129+L129-M129</f>
        <v>1355</v>
      </c>
      <c r="O129" s="3" t="n">
        <v>376</v>
      </c>
      <c r="P129" s="3" t="str">
        <f aca="false">IF(N129&lt;=O129,"Reorder Needed","Sufficient")</f>
        <v>Sufficient</v>
      </c>
      <c r="Q129" s="3" t="n">
        <v>13</v>
      </c>
      <c r="R129" s="3" t="n">
        <v>703</v>
      </c>
      <c r="S129" s="3" t="str">
        <f aca="false">IF(T129&gt;Q129,"Delayed","On Time")</f>
        <v>On Time</v>
      </c>
      <c r="T129" s="3" t="n">
        <v>12</v>
      </c>
      <c r="U129" s="4" t="n">
        <v>9765.03</v>
      </c>
      <c r="V129" s="3" t="str">
        <f aca="false">IF(N129&lt;=0,"Yes","No")</f>
        <v>No</v>
      </c>
      <c r="W129" s="3" t="n">
        <v>941</v>
      </c>
      <c r="X129" s="3" t="n">
        <v>815</v>
      </c>
      <c r="Y129" s="5" t="n">
        <f aca="false">IFERROR(1-ABS(W129-X129)/X129,0)</f>
        <v>0.845398773006135</v>
      </c>
      <c r="Z129" s="6" t="n">
        <f aca="false">IFERROR(M129/((K129+N129)/2),0)</f>
        <v>0.305400372439479</v>
      </c>
    </row>
    <row r="130" customFormat="false" ht="15" hidden="false" customHeight="false" outlineLevel="0" collapsed="false">
      <c r="A130" s="2" t="n">
        <v>45888</v>
      </c>
      <c r="B130" s="3" t="s">
        <v>86</v>
      </c>
      <c r="C130" s="3" t="s">
        <v>82</v>
      </c>
      <c r="D130" s="3" t="n">
        <v>2025</v>
      </c>
      <c r="E130" s="3" t="s">
        <v>89</v>
      </c>
      <c r="F130" s="3" t="s">
        <v>90</v>
      </c>
      <c r="G130" s="3" t="s">
        <v>36</v>
      </c>
      <c r="H130" s="3" t="s">
        <v>85</v>
      </c>
      <c r="I130" s="3" t="s">
        <v>41</v>
      </c>
      <c r="J130" s="3" t="s">
        <v>33</v>
      </c>
      <c r="K130" s="3" t="n">
        <v>841</v>
      </c>
      <c r="L130" s="3" t="n">
        <v>61</v>
      </c>
      <c r="M130" s="3" t="n">
        <v>428</v>
      </c>
      <c r="N130" s="3" t="n">
        <f aca="false">K130+L130-M130</f>
        <v>474</v>
      </c>
      <c r="O130" s="3" t="n">
        <v>80</v>
      </c>
      <c r="P130" s="3" t="str">
        <f aca="false">IF(N130&lt;=O130,"Reorder Needed","Sufficient")</f>
        <v>Sufficient</v>
      </c>
      <c r="Q130" s="3" t="n">
        <v>11</v>
      </c>
      <c r="R130" s="3" t="n">
        <v>570</v>
      </c>
      <c r="S130" s="3" t="str">
        <f aca="false">IF(T130&gt;Q130,"Delayed","On Time")</f>
        <v>Delayed</v>
      </c>
      <c r="T130" s="3" t="n">
        <v>14</v>
      </c>
      <c r="U130" s="4" t="n">
        <v>10732.04</v>
      </c>
      <c r="V130" s="3" t="str">
        <f aca="false">IF(N130&lt;=0,"Yes","No")</f>
        <v>No</v>
      </c>
      <c r="W130" s="3" t="n">
        <v>1353</v>
      </c>
      <c r="X130" s="3" t="n">
        <v>1090</v>
      </c>
      <c r="Y130" s="5" t="n">
        <f aca="false">IFERROR(1-ABS(W130-X130)/X130,0)</f>
        <v>0.758715596330275</v>
      </c>
      <c r="Z130" s="6" t="n">
        <f aca="false">IFERROR(M130/((K130+N130)/2),0)</f>
        <v>0.650950570342205</v>
      </c>
    </row>
    <row r="131" customFormat="false" ht="15" hidden="false" customHeight="false" outlineLevel="0" collapsed="false">
      <c r="A131" s="2" t="n">
        <v>45899</v>
      </c>
      <c r="B131" s="3" t="s">
        <v>86</v>
      </c>
      <c r="C131" s="3" t="s">
        <v>82</v>
      </c>
      <c r="D131" s="3" t="n">
        <v>2025</v>
      </c>
      <c r="E131" s="3" t="s">
        <v>49</v>
      </c>
      <c r="F131" s="3" t="s">
        <v>50</v>
      </c>
      <c r="G131" s="3" t="s">
        <v>30</v>
      </c>
      <c r="H131" s="3" t="s">
        <v>31</v>
      </c>
      <c r="I131" s="3" t="s">
        <v>38</v>
      </c>
      <c r="J131" s="3" t="s">
        <v>39</v>
      </c>
      <c r="K131" s="3" t="n">
        <v>1378</v>
      </c>
      <c r="L131" s="3" t="n">
        <v>665</v>
      </c>
      <c r="M131" s="3" t="n">
        <v>407</v>
      </c>
      <c r="N131" s="3" t="n">
        <f aca="false">K131+L131-M131</f>
        <v>1636</v>
      </c>
      <c r="O131" s="3" t="n">
        <v>279</v>
      </c>
      <c r="P131" s="3" t="str">
        <f aca="false">IF(N131&lt;=O131,"Reorder Needed","Sufficient")</f>
        <v>Sufficient</v>
      </c>
      <c r="Q131" s="3" t="n">
        <v>10</v>
      </c>
      <c r="R131" s="3" t="n">
        <v>692</v>
      </c>
      <c r="S131" s="3" t="str">
        <f aca="false">IF(T131&gt;Q131,"Delayed","On Time")</f>
        <v>On Time</v>
      </c>
      <c r="T131" s="3" t="n">
        <v>10</v>
      </c>
      <c r="U131" s="4" t="n">
        <v>13846.96</v>
      </c>
      <c r="V131" s="3" t="str">
        <f aca="false">IF(N131&lt;=0,"Yes","No")</f>
        <v>No</v>
      </c>
      <c r="W131" s="3" t="n">
        <v>1510</v>
      </c>
      <c r="X131" s="3" t="n">
        <v>1487</v>
      </c>
      <c r="Y131" s="5" t="n">
        <f aca="false">IFERROR(1-ABS(W131-X131)/X131,0)</f>
        <v>0.98453261600538</v>
      </c>
      <c r="Z131" s="6" t="n">
        <f aca="false">IFERROR(M131/((K131+N131)/2),0)</f>
        <v>0.27007299270073</v>
      </c>
    </row>
    <row r="132" customFormat="false" ht="15" hidden="false" customHeight="false" outlineLevel="0" collapsed="false">
      <c r="A132" s="2" t="n">
        <v>45911</v>
      </c>
      <c r="B132" s="3" t="s">
        <v>91</v>
      </c>
      <c r="C132" s="3" t="s">
        <v>82</v>
      </c>
      <c r="D132" s="3" t="n">
        <v>2025</v>
      </c>
      <c r="E132" s="3" t="s">
        <v>47</v>
      </c>
      <c r="F132" s="3" t="s">
        <v>48</v>
      </c>
      <c r="G132" s="3" t="s">
        <v>44</v>
      </c>
      <c r="H132" s="3" t="s">
        <v>65</v>
      </c>
      <c r="I132" s="3" t="s">
        <v>38</v>
      </c>
      <c r="J132" s="3" t="s">
        <v>39</v>
      </c>
      <c r="K132" s="3" t="n">
        <v>305</v>
      </c>
      <c r="L132" s="3" t="n">
        <v>634</v>
      </c>
      <c r="M132" s="3" t="n">
        <v>527</v>
      </c>
      <c r="N132" s="3" t="n">
        <f aca="false">K132+L132-M132</f>
        <v>412</v>
      </c>
      <c r="O132" s="3" t="n">
        <v>77</v>
      </c>
      <c r="P132" s="3" t="str">
        <f aca="false">IF(N132&lt;=O132,"Reorder Needed","Sufficient")</f>
        <v>Sufficient</v>
      </c>
      <c r="Q132" s="3" t="n">
        <v>9</v>
      </c>
      <c r="R132" s="3" t="n">
        <v>614</v>
      </c>
      <c r="S132" s="3" t="str">
        <f aca="false">IF(T132&gt;Q132,"Delayed","On Time")</f>
        <v>Delayed</v>
      </c>
      <c r="T132" s="3" t="n">
        <v>12</v>
      </c>
      <c r="U132" s="4" t="n">
        <v>6670.97</v>
      </c>
      <c r="V132" s="3" t="str">
        <f aca="false">IF(N132&lt;=0,"Yes","No")</f>
        <v>No</v>
      </c>
      <c r="W132" s="3" t="n">
        <v>1310</v>
      </c>
      <c r="X132" s="3" t="n">
        <v>1340</v>
      </c>
      <c r="Y132" s="5" t="n">
        <f aca="false">IFERROR(1-ABS(W132-X132)/X132,0)</f>
        <v>0.977611940298508</v>
      </c>
      <c r="Z132" s="6" t="n">
        <f aca="false">IFERROR(M132/((K132+N132)/2),0)</f>
        <v>1.47001394700139</v>
      </c>
    </row>
    <row r="133" customFormat="false" ht="15" hidden="false" customHeight="false" outlineLevel="0" collapsed="false">
      <c r="A133" s="2" t="n">
        <v>45918</v>
      </c>
      <c r="B133" s="3" t="s">
        <v>91</v>
      </c>
      <c r="C133" s="3" t="s">
        <v>82</v>
      </c>
      <c r="D133" s="3" t="n">
        <v>2025</v>
      </c>
      <c r="E133" s="3" t="s">
        <v>68</v>
      </c>
      <c r="F133" s="3" t="s">
        <v>69</v>
      </c>
      <c r="G133" s="3" t="s">
        <v>60</v>
      </c>
      <c r="H133" s="3" t="s">
        <v>85</v>
      </c>
      <c r="I133" s="3" t="s">
        <v>41</v>
      </c>
      <c r="J133" s="3" t="s">
        <v>33</v>
      </c>
      <c r="K133" s="3" t="n">
        <v>1207</v>
      </c>
      <c r="L133" s="3" t="n">
        <v>398</v>
      </c>
      <c r="M133" s="3" t="n">
        <v>619</v>
      </c>
      <c r="N133" s="3" t="n">
        <f aca="false">K133+L133-M133</f>
        <v>986</v>
      </c>
      <c r="O133" s="3" t="n">
        <v>398</v>
      </c>
      <c r="P133" s="3" t="str">
        <f aca="false">IF(N133&lt;=O133,"Reorder Needed","Sufficient")</f>
        <v>Sufficient</v>
      </c>
      <c r="Q133" s="3" t="n">
        <v>18</v>
      </c>
      <c r="R133" s="3" t="n">
        <v>446</v>
      </c>
      <c r="S133" s="3" t="str">
        <f aca="false">IF(T133&gt;Q133,"Delayed","On Time")</f>
        <v>Delayed</v>
      </c>
      <c r="T133" s="3" t="n">
        <v>21</v>
      </c>
      <c r="U133" s="4" t="n">
        <v>13467.29</v>
      </c>
      <c r="V133" s="3" t="str">
        <f aca="false">IF(N133&lt;=0,"Yes","No")</f>
        <v>No</v>
      </c>
      <c r="W133" s="3" t="n">
        <v>1202</v>
      </c>
      <c r="X133" s="3" t="n">
        <v>1483</v>
      </c>
      <c r="Y133" s="5" t="n">
        <f aca="false">IFERROR(1-ABS(W133-X133)/X133,0)</f>
        <v>0.810519217801753</v>
      </c>
      <c r="Z133" s="6" t="n">
        <f aca="false">IFERROR(M133/((K133+N133)/2),0)</f>
        <v>0.56452348381213</v>
      </c>
    </row>
    <row r="134" customFormat="false" ht="15" hidden="false" customHeight="false" outlineLevel="0" collapsed="false">
      <c r="A134" s="2" t="n">
        <v>45928</v>
      </c>
      <c r="B134" s="3" t="s">
        <v>91</v>
      </c>
      <c r="C134" s="3" t="s">
        <v>82</v>
      </c>
      <c r="D134" s="3" t="n">
        <v>2025</v>
      </c>
      <c r="E134" s="3" t="s">
        <v>75</v>
      </c>
      <c r="F134" s="3" t="s">
        <v>76</v>
      </c>
      <c r="G134" s="3" t="s">
        <v>36</v>
      </c>
      <c r="H134" s="3" t="s">
        <v>40</v>
      </c>
      <c r="I134" s="3" t="s">
        <v>55</v>
      </c>
      <c r="J134" s="3" t="s">
        <v>56</v>
      </c>
      <c r="K134" s="3" t="n">
        <v>592</v>
      </c>
      <c r="L134" s="3" t="n">
        <v>200</v>
      </c>
      <c r="M134" s="3" t="n">
        <v>646</v>
      </c>
      <c r="N134" s="3" t="n">
        <f aca="false">K134+L134-M134</f>
        <v>146</v>
      </c>
      <c r="O134" s="3" t="n">
        <v>262</v>
      </c>
      <c r="P134" s="3" t="str">
        <f aca="false">IF(N134&lt;=O134,"Reorder Needed","Sufficient")</f>
        <v>Reorder Needed</v>
      </c>
      <c r="Q134" s="3" t="n">
        <v>3</v>
      </c>
      <c r="R134" s="3" t="n">
        <v>267</v>
      </c>
      <c r="S134" s="3" t="str">
        <f aca="false">IF(T134&gt;Q134,"Delayed","On Time")</f>
        <v>Delayed</v>
      </c>
      <c r="T134" s="3" t="n">
        <v>8</v>
      </c>
      <c r="U134" s="4" t="n">
        <v>11807.81</v>
      </c>
      <c r="V134" s="3" t="str">
        <f aca="false">IF(N134&lt;=0,"Yes","No")</f>
        <v>No</v>
      </c>
      <c r="W134" s="3" t="n">
        <v>583</v>
      </c>
      <c r="X134" s="3" t="n">
        <v>473</v>
      </c>
      <c r="Y134" s="5" t="n">
        <f aca="false">IFERROR(1-ABS(W134-X134)/X134,0)</f>
        <v>0.767441860465116</v>
      </c>
      <c r="Z134" s="6" t="n">
        <f aca="false">IFERROR(M134/((K134+N134)/2),0)</f>
        <v>1.75067750677507</v>
      </c>
    </row>
    <row r="135" customFormat="false" ht="15" hidden="false" customHeight="false" outlineLevel="0" collapsed="false">
      <c r="A135" s="2" t="n">
        <v>45934</v>
      </c>
      <c r="B135" s="3" t="s">
        <v>92</v>
      </c>
      <c r="C135" s="3" t="s">
        <v>93</v>
      </c>
      <c r="D135" s="3" t="n">
        <v>2025</v>
      </c>
      <c r="E135" s="3" t="s">
        <v>89</v>
      </c>
      <c r="F135" s="3" t="s">
        <v>90</v>
      </c>
      <c r="G135" s="3" t="s">
        <v>36</v>
      </c>
      <c r="H135" s="3" t="s">
        <v>31</v>
      </c>
      <c r="I135" s="3" t="s">
        <v>45</v>
      </c>
      <c r="J135" s="3" t="s">
        <v>46</v>
      </c>
      <c r="K135" s="3" t="n">
        <v>495</v>
      </c>
      <c r="L135" s="3" t="n">
        <v>595</v>
      </c>
      <c r="M135" s="3" t="n">
        <v>380</v>
      </c>
      <c r="N135" s="3" t="n">
        <f aca="false">K135+L135-M135</f>
        <v>710</v>
      </c>
      <c r="O135" s="3" t="n">
        <v>293</v>
      </c>
      <c r="P135" s="3" t="str">
        <f aca="false">IF(N135&lt;=O135,"Reorder Needed","Sufficient")</f>
        <v>Sufficient</v>
      </c>
      <c r="Q135" s="3" t="n">
        <v>16</v>
      </c>
      <c r="R135" s="3" t="n">
        <v>141</v>
      </c>
      <c r="S135" s="3" t="str">
        <f aca="false">IF(T135&gt;Q135,"Delayed","On Time")</f>
        <v>Delayed</v>
      </c>
      <c r="T135" s="3" t="n">
        <v>20</v>
      </c>
      <c r="U135" s="4" t="n">
        <v>11665.27</v>
      </c>
      <c r="V135" s="3" t="str">
        <f aca="false">IF(N135&lt;=0,"Yes","No")</f>
        <v>No</v>
      </c>
      <c r="W135" s="3" t="n">
        <v>578</v>
      </c>
      <c r="X135" s="3" t="n">
        <v>465</v>
      </c>
      <c r="Y135" s="5" t="n">
        <f aca="false">IFERROR(1-ABS(W135-X135)/X135,0)</f>
        <v>0.756989247311828</v>
      </c>
      <c r="Z135" s="6" t="n">
        <f aca="false">IFERROR(M135/((K135+N135)/2),0)</f>
        <v>0.630705394190871</v>
      </c>
    </row>
    <row r="136" customFormat="false" ht="15" hidden="false" customHeight="false" outlineLevel="0" collapsed="false">
      <c r="A136" s="2" t="n">
        <v>45935</v>
      </c>
      <c r="B136" s="3" t="s">
        <v>92</v>
      </c>
      <c r="C136" s="3" t="s">
        <v>93</v>
      </c>
      <c r="D136" s="3" t="n">
        <v>2025</v>
      </c>
      <c r="E136" s="3" t="s">
        <v>28</v>
      </c>
      <c r="F136" s="3" t="s">
        <v>29</v>
      </c>
      <c r="G136" s="3" t="s">
        <v>30</v>
      </c>
      <c r="H136" s="3" t="s">
        <v>52</v>
      </c>
      <c r="I136" s="3" t="s">
        <v>41</v>
      </c>
      <c r="J136" s="3" t="s">
        <v>33</v>
      </c>
      <c r="K136" s="3" t="n">
        <v>1452</v>
      </c>
      <c r="L136" s="3" t="n">
        <v>522</v>
      </c>
      <c r="M136" s="3" t="n">
        <v>501</v>
      </c>
      <c r="N136" s="3" t="n">
        <f aca="false">K136+L136-M136</f>
        <v>1473</v>
      </c>
      <c r="O136" s="3" t="n">
        <v>188</v>
      </c>
      <c r="P136" s="3" t="str">
        <f aca="false">IF(N136&lt;=O136,"Reorder Needed","Sufficient")</f>
        <v>Sufficient</v>
      </c>
      <c r="Q136" s="3" t="n">
        <v>13</v>
      </c>
      <c r="R136" s="3" t="n">
        <v>388</v>
      </c>
      <c r="S136" s="3" t="str">
        <f aca="false">IF(T136&gt;Q136,"Delayed","On Time")</f>
        <v>On Time</v>
      </c>
      <c r="T136" s="3" t="n">
        <v>11</v>
      </c>
      <c r="U136" s="4" t="n">
        <v>6437.05</v>
      </c>
      <c r="V136" s="3" t="str">
        <f aca="false">IF(N136&lt;=0,"Yes","No")</f>
        <v>No</v>
      </c>
      <c r="W136" s="3" t="n">
        <v>1037</v>
      </c>
      <c r="X136" s="3" t="n">
        <v>860</v>
      </c>
      <c r="Y136" s="5" t="n">
        <f aca="false">IFERROR(1-ABS(W136-X136)/X136,0)</f>
        <v>0.794186046511628</v>
      </c>
      <c r="Z136" s="6" t="n">
        <f aca="false">IFERROR(M136/((K136+N136)/2),0)</f>
        <v>0.342564102564103</v>
      </c>
    </row>
    <row r="137" customFormat="false" ht="15" hidden="false" customHeight="false" outlineLevel="0" collapsed="false">
      <c r="A137" s="2" t="n">
        <v>45936</v>
      </c>
      <c r="B137" s="3" t="s">
        <v>92</v>
      </c>
      <c r="C137" s="3" t="s">
        <v>93</v>
      </c>
      <c r="D137" s="3" t="n">
        <v>2025</v>
      </c>
      <c r="E137" s="3" t="s">
        <v>89</v>
      </c>
      <c r="F137" s="3" t="s">
        <v>90</v>
      </c>
      <c r="G137" s="3" t="s">
        <v>36</v>
      </c>
      <c r="H137" s="3" t="s">
        <v>52</v>
      </c>
      <c r="I137" s="3" t="s">
        <v>32</v>
      </c>
      <c r="J137" s="3" t="s">
        <v>33</v>
      </c>
      <c r="K137" s="3" t="n">
        <v>1027</v>
      </c>
      <c r="L137" s="3" t="n">
        <v>319</v>
      </c>
      <c r="M137" s="3" t="n">
        <v>829</v>
      </c>
      <c r="N137" s="3" t="n">
        <f aca="false">K137+L137-M137</f>
        <v>517</v>
      </c>
      <c r="O137" s="3" t="n">
        <v>348</v>
      </c>
      <c r="P137" s="3" t="str">
        <f aca="false">IF(N137&lt;=O137,"Reorder Needed","Sufficient")</f>
        <v>Sufficient</v>
      </c>
      <c r="Q137" s="3" t="n">
        <v>14</v>
      </c>
      <c r="R137" s="3" t="n">
        <v>813</v>
      </c>
      <c r="S137" s="3" t="str">
        <f aca="false">IF(T137&gt;Q137,"Delayed","On Time")</f>
        <v>On Time</v>
      </c>
      <c r="T137" s="3" t="n">
        <v>11</v>
      </c>
      <c r="U137" s="4" t="n">
        <v>3993.81</v>
      </c>
      <c r="V137" s="3" t="str">
        <f aca="false">IF(N137&lt;=0,"Yes","No")</f>
        <v>No</v>
      </c>
      <c r="W137" s="3" t="n">
        <v>222</v>
      </c>
      <c r="X137" s="3" t="n">
        <v>169</v>
      </c>
      <c r="Y137" s="5" t="n">
        <f aca="false">IFERROR(1-ABS(W137-X137)/X137,0)</f>
        <v>0.686390532544379</v>
      </c>
      <c r="Z137" s="6" t="n">
        <f aca="false">IFERROR(M137/((K137+N137)/2),0)</f>
        <v>1.07383419689119</v>
      </c>
    </row>
    <row r="138" customFormat="false" ht="15" hidden="false" customHeight="false" outlineLevel="0" collapsed="false">
      <c r="A138" s="2" t="n">
        <v>45948</v>
      </c>
      <c r="B138" s="3" t="s">
        <v>92</v>
      </c>
      <c r="C138" s="3" t="s">
        <v>93</v>
      </c>
      <c r="D138" s="3" t="n">
        <v>2025</v>
      </c>
      <c r="E138" s="3" t="s">
        <v>83</v>
      </c>
      <c r="F138" s="3" t="s">
        <v>84</v>
      </c>
      <c r="G138" s="3" t="s">
        <v>60</v>
      </c>
      <c r="H138" s="3" t="s">
        <v>74</v>
      </c>
      <c r="I138" s="3" t="s">
        <v>32</v>
      </c>
      <c r="J138" s="3" t="s">
        <v>33</v>
      </c>
      <c r="K138" s="3" t="n">
        <v>569</v>
      </c>
      <c r="L138" s="3" t="n">
        <v>448</v>
      </c>
      <c r="M138" s="3" t="n">
        <v>612</v>
      </c>
      <c r="N138" s="3" t="n">
        <f aca="false">K138+L138-M138</f>
        <v>405</v>
      </c>
      <c r="O138" s="3" t="n">
        <v>360</v>
      </c>
      <c r="P138" s="3" t="str">
        <f aca="false">IF(N138&lt;=O138,"Reorder Needed","Sufficient")</f>
        <v>Sufficient</v>
      </c>
      <c r="Q138" s="3" t="n">
        <v>12</v>
      </c>
      <c r="R138" s="3" t="n">
        <v>374</v>
      </c>
      <c r="S138" s="3" t="str">
        <f aca="false">IF(T138&gt;Q138,"Delayed","On Time")</f>
        <v>On Time</v>
      </c>
      <c r="T138" s="3" t="n">
        <v>11</v>
      </c>
      <c r="U138" s="4" t="n">
        <v>825.32</v>
      </c>
      <c r="V138" s="3" t="str">
        <f aca="false">IF(N138&lt;=0,"Yes","No")</f>
        <v>No</v>
      </c>
      <c r="W138" s="3" t="n">
        <v>1447</v>
      </c>
      <c r="X138" s="3" t="n">
        <v>1208</v>
      </c>
      <c r="Y138" s="5" t="n">
        <f aca="false">IFERROR(1-ABS(W138-X138)/X138,0)</f>
        <v>0.802152317880795</v>
      </c>
      <c r="Z138" s="6" t="n">
        <f aca="false">IFERROR(M138/((K138+N138)/2),0)</f>
        <v>1.25667351129363</v>
      </c>
    </row>
    <row r="139" customFormat="false" ht="15" hidden="false" customHeight="false" outlineLevel="0" collapsed="false">
      <c r="A139" s="2" t="n">
        <v>45949</v>
      </c>
      <c r="B139" s="3" t="s">
        <v>92</v>
      </c>
      <c r="C139" s="3" t="s">
        <v>93</v>
      </c>
      <c r="D139" s="3" t="n">
        <v>2025</v>
      </c>
      <c r="E139" s="3" t="s">
        <v>77</v>
      </c>
      <c r="F139" s="3" t="s">
        <v>78</v>
      </c>
      <c r="G139" s="3" t="s">
        <v>44</v>
      </c>
      <c r="H139" s="3" t="s">
        <v>65</v>
      </c>
      <c r="I139" s="3" t="s">
        <v>55</v>
      </c>
      <c r="J139" s="3" t="s">
        <v>56</v>
      </c>
      <c r="K139" s="3" t="n">
        <v>594</v>
      </c>
      <c r="L139" s="3" t="n">
        <v>292</v>
      </c>
      <c r="M139" s="3" t="n">
        <v>466</v>
      </c>
      <c r="N139" s="3" t="n">
        <f aca="false">K139+L139-M139</f>
        <v>420</v>
      </c>
      <c r="O139" s="3" t="n">
        <v>206</v>
      </c>
      <c r="P139" s="3" t="str">
        <f aca="false">IF(N139&lt;=O139,"Reorder Needed","Sufficient")</f>
        <v>Sufficient</v>
      </c>
      <c r="Q139" s="3" t="n">
        <v>8</v>
      </c>
      <c r="R139" s="3" t="n">
        <v>562</v>
      </c>
      <c r="S139" s="3" t="str">
        <f aca="false">IF(T139&gt;Q139,"Delayed","On Time")</f>
        <v>Delayed</v>
      </c>
      <c r="T139" s="3" t="n">
        <v>9</v>
      </c>
      <c r="U139" s="4" t="n">
        <v>5290.6</v>
      </c>
      <c r="V139" s="3" t="str">
        <f aca="false">IF(N139&lt;=0,"Yes","No")</f>
        <v>No</v>
      </c>
      <c r="W139" s="3" t="n">
        <v>1600</v>
      </c>
      <c r="X139" s="3" t="n">
        <v>1240</v>
      </c>
      <c r="Y139" s="5" t="n">
        <f aca="false">IFERROR(1-ABS(W139-X139)/X139,0)</f>
        <v>0.709677419354839</v>
      </c>
      <c r="Z139" s="6" t="n">
        <f aca="false">IFERROR(M139/((K139+N139)/2),0)</f>
        <v>0.919132149901381</v>
      </c>
    </row>
    <row r="140" customFormat="false" ht="15" hidden="false" customHeight="false" outlineLevel="0" collapsed="false">
      <c r="A140" s="2" t="n">
        <v>45951</v>
      </c>
      <c r="B140" s="3" t="s">
        <v>92</v>
      </c>
      <c r="C140" s="3" t="s">
        <v>93</v>
      </c>
      <c r="D140" s="3" t="n">
        <v>2025</v>
      </c>
      <c r="E140" s="3" t="s">
        <v>75</v>
      </c>
      <c r="F140" s="3" t="s">
        <v>76</v>
      </c>
      <c r="G140" s="3" t="s">
        <v>36</v>
      </c>
      <c r="H140" s="3" t="s">
        <v>31</v>
      </c>
      <c r="I140" s="3" t="s">
        <v>38</v>
      </c>
      <c r="J140" s="3" t="s">
        <v>39</v>
      </c>
      <c r="K140" s="3" t="n">
        <v>1218</v>
      </c>
      <c r="L140" s="3" t="n">
        <v>230</v>
      </c>
      <c r="M140" s="3" t="n">
        <v>737</v>
      </c>
      <c r="N140" s="3" t="n">
        <f aca="false">K140+L140-M140</f>
        <v>711</v>
      </c>
      <c r="O140" s="3" t="n">
        <v>316</v>
      </c>
      <c r="P140" s="3" t="str">
        <f aca="false">IF(N140&lt;=O140,"Reorder Needed","Sufficient")</f>
        <v>Sufficient</v>
      </c>
      <c r="Q140" s="3" t="n">
        <v>17</v>
      </c>
      <c r="R140" s="3" t="n">
        <v>969</v>
      </c>
      <c r="S140" s="3" t="str">
        <f aca="false">IF(T140&gt;Q140,"Delayed","On Time")</f>
        <v>On Time</v>
      </c>
      <c r="T140" s="3" t="n">
        <v>16</v>
      </c>
      <c r="U140" s="4" t="n">
        <v>7323.46</v>
      </c>
      <c r="V140" s="3" t="str">
        <f aca="false">IF(N140&lt;=0,"Yes","No")</f>
        <v>No</v>
      </c>
      <c r="W140" s="3" t="n">
        <v>264</v>
      </c>
      <c r="X140" s="3" t="n">
        <v>263</v>
      </c>
      <c r="Y140" s="5" t="n">
        <f aca="false">IFERROR(1-ABS(W140-X140)/X140,0)</f>
        <v>0.996197718631179</v>
      </c>
      <c r="Z140" s="6" t="n">
        <f aca="false">IFERROR(M140/((K140+N140)/2),0)</f>
        <v>0.764126490409539</v>
      </c>
    </row>
    <row r="141" customFormat="false" ht="15" hidden="false" customHeight="false" outlineLevel="0" collapsed="false">
      <c r="A141" s="2" t="n">
        <v>45954</v>
      </c>
      <c r="B141" s="3" t="s">
        <v>92</v>
      </c>
      <c r="C141" s="3" t="s">
        <v>93</v>
      </c>
      <c r="D141" s="3" t="n">
        <v>2025</v>
      </c>
      <c r="E141" s="3" t="s">
        <v>47</v>
      </c>
      <c r="F141" s="3" t="s">
        <v>48</v>
      </c>
      <c r="G141" s="3" t="s">
        <v>44</v>
      </c>
      <c r="H141" s="3" t="s">
        <v>40</v>
      </c>
      <c r="I141" s="3" t="s">
        <v>38</v>
      </c>
      <c r="J141" s="3" t="s">
        <v>39</v>
      </c>
      <c r="K141" s="3" t="n">
        <v>650</v>
      </c>
      <c r="L141" s="3" t="n">
        <v>441</v>
      </c>
      <c r="M141" s="3" t="n">
        <v>442</v>
      </c>
      <c r="N141" s="3" t="n">
        <f aca="false">K141+L141-M141</f>
        <v>649</v>
      </c>
      <c r="O141" s="3" t="n">
        <v>155</v>
      </c>
      <c r="P141" s="3" t="str">
        <f aca="false">IF(N141&lt;=O141,"Reorder Needed","Sufficient")</f>
        <v>Sufficient</v>
      </c>
      <c r="Q141" s="3" t="n">
        <v>2</v>
      </c>
      <c r="R141" s="3" t="n">
        <v>855</v>
      </c>
      <c r="S141" s="3" t="str">
        <f aca="false">IF(T141&gt;Q141,"Delayed","On Time")</f>
        <v>Delayed</v>
      </c>
      <c r="T141" s="3" t="n">
        <v>7</v>
      </c>
      <c r="U141" s="4" t="n">
        <v>13556.36</v>
      </c>
      <c r="V141" s="3" t="str">
        <f aca="false">IF(N141&lt;=0,"Yes","No")</f>
        <v>No</v>
      </c>
      <c r="W141" s="3" t="n">
        <v>1137</v>
      </c>
      <c r="X141" s="3" t="n">
        <v>1018</v>
      </c>
      <c r="Y141" s="5" t="n">
        <f aca="false">IFERROR(1-ABS(W141-X141)/X141,0)</f>
        <v>0.883104125736739</v>
      </c>
      <c r="Z141" s="6" t="n">
        <f aca="false">IFERROR(M141/((K141+N141)/2),0)</f>
        <v>0.680523479599692</v>
      </c>
    </row>
    <row r="142" customFormat="false" ht="15" hidden="false" customHeight="false" outlineLevel="0" collapsed="false">
      <c r="A142" s="2" t="n">
        <v>45956</v>
      </c>
      <c r="B142" s="3" t="s">
        <v>92</v>
      </c>
      <c r="C142" s="3" t="s">
        <v>93</v>
      </c>
      <c r="D142" s="3" t="n">
        <v>2025</v>
      </c>
      <c r="E142" s="3" t="s">
        <v>53</v>
      </c>
      <c r="F142" s="3" t="s">
        <v>54</v>
      </c>
      <c r="G142" s="3" t="s">
        <v>36</v>
      </c>
      <c r="H142" s="3" t="s">
        <v>65</v>
      </c>
      <c r="I142" s="3" t="s">
        <v>55</v>
      </c>
      <c r="J142" s="3" t="s">
        <v>56</v>
      </c>
      <c r="K142" s="3" t="n">
        <v>634</v>
      </c>
      <c r="L142" s="3" t="n">
        <v>243</v>
      </c>
      <c r="M142" s="3" t="n">
        <v>107</v>
      </c>
      <c r="N142" s="3" t="n">
        <f aca="false">K142+L142-M142</f>
        <v>770</v>
      </c>
      <c r="O142" s="3" t="n">
        <v>364</v>
      </c>
      <c r="P142" s="3" t="str">
        <f aca="false">IF(N142&lt;=O142,"Reorder Needed","Sufficient")</f>
        <v>Sufficient</v>
      </c>
      <c r="Q142" s="3" t="n">
        <v>11</v>
      </c>
      <c r="R142" s="3" t="n">
        <v>991</v>
      </c>
      <c r="S142" s="3" t="str">
        <f aca="false">IF(T142&gt;Q142,"Delayed","On Time")</f>
        <v>Delayed</v>
      </c>
      <c r="T142" s="3" t="n">
        <v>15</v>
      </c>
      <c r="U142" s="4" t="n">
        <v>13041.46</v>
      </c>
      <c r="V142" s="3" t="str">
        <f aca="false">IF(N142&lt;=0,"Yes","No")</f>
        <v>No</v>
      </c>
      <c r="W142" s="3" t="n">
        <v>792</v>
      </c>
      <c r="X142" s="3" t="n">
        <v>634</v>
      </c>
      <c r="Y142" s="5" t="n">
        <f aca="false">IFERROR(1-ABS(W142-X142)/X142,0)</f>
        <v>0.750788643533123</v>
      </c>
      <c r="Z142" s="6" t="n">
        <f aca="false">IFERROR(M142/((K142+N142)/2),0)</f>
        <v>0.152421652421652</v>
      </c>
    </row>
    <row r="143" customFormat="false" ht="15" hidden="false" customHeight="false" outlineLevel="0" collapsed="false">
      <c r="A143" s="2" t="n">
        <v>45963</v>
      </c>
      <c r="B143" s="3" t="s">
        <v>94</v>
      </c>
      <c r="C143" s="3" t="s">
        <v>93</v>
      </c>
      <c r="D143" s="3" t="n">
        <v>2025</v>
      </c>
      <c r="E143" s="3" t="s">
        <v>75</v>
      </c>
      <c r="F143" s="3" t="s">
        <v>76</v>
      </c>
      <c r="G143" s="3" t="s">
        <v>36</v>
      </c>
      <c r="H143" s="3" t="s">
        <v>74</v>
      </c>
      <c r="I143" s="3" t="s">
        <v>55</v>
      </c>
      <c r="J143" s="3" t="s">
        <v>56</v>
      </c>
      <c r="K143" s="3" t="n">
        <v>1334</v>
      </c>
      <c r="L143" s="3" t="n">
        <v>610</v>
      </c>
      <c r="M143" s="3" t="n">
        <v>1361</v>
      </c>
      <c r="N143" s="3" t="n">
        <f aca="false">K143+L143-M143</f>
        <v>583</v>
      </c>
      <c r="O143" s="3" t="n">
        <v>82</v>
      </c>
      <c r="P143" s="3" t="str">
        <f aca="false">IF(N143&lt;=O143,"Reorder Needed","Sufficient")</f>
        <v>Sufficient</v>
      </c>
      <c r="Q143" s="3" t="n">
        <v>17</v>
      </c>
      <c r="R143" s="3" t="n">
        <v>830</v>
      </c>
      <c r="S143" s="3" t="str">
        <f aca="false">IF(T143&gt;Q143,"Delayed","On Time")</f>
        <v>Delayed</v>
      </c>
      <c r="T143" s="3" t="n">
        <v>19</v>
      </c>
      <c r="U143" s="4" t="n">
        <v>7966.48</v>
      </c>
      <c r="V143" s="3" t="str">
        <f aca="false">IF(N143&lt;=0,"Yes","No")</f>
        <v>No</v>
      </c>
      <c r="W143" s="3" t="n">
        <v>555</v>
      </c>
      <c r="X143" s="3" t="n">
        <v>457</v>
      </c>
      <c r="Y143" s="5" t="n">
        <f aca="false">IFERROR(1-ABS(W143-X143)/X143,0)</f>
        <v>0.785557986870897</v>
      </c>
      <c r="Z143" s="6" t="n">
        <f aca="false">IFERROR(M143/((K143+N143)/2),0)</f>
        <v>1.41992696922274</v>
      </c>
    </row>
    <row r="144" customFormat="false" ht="15" hidden="false" customHeight="false" outlineLevel="0" collapsed="false">
      <c r="A144" s="2" t="n">
        <v>45968</v>
      </c>
      <c r="B144" s="3" t="s">
        <v>94</v>
      </c>
      <c r="C144" s="3" t="s">
        <v>93</v>
      </c>
      <c r="D144" s="3" t="n">
        <v>2025</v>
      </c>
      <c r="E144" s="3" t="s">
        <v>68</v>
      </c>
      <c r="F144" s="3" t="s">
        <v>69</v>
      </c>
      <c r="G144" s="3" t="s">
        <v>60</v>
      </c>
      <c r="H144" s="3" t="s">
        <v>40</v>
      </c>
      <c r="I144" s="3" t="s">
        <v>55</v>
      </c>
      <c r="J144" s="3" t="s">
        <v>56</v>
      </c>
      <c r="K144" s="3" t="n">
        <v>988</v>
      </c>
      <c r="L144" s="3" t="n">
        <v>589</v>
      </c>
      <c r="M144" s="3" t="n">
        <v>435</v>
      </c>
      <c r="N144" s="3" t="n">
        <f aca="false">K144+L144-M144</f>
        <v>1142</v>
      </c>
      <c r="O144" s="3" t="n">
        <v>99</v>
      </c>
      <c r="P144" s="3" t="str">
        <f aca="false">IF(N144&lt;=O144,"Reorder Needed","Sufficient")</f>
        <v>Sufficient</v>
      </c>
      <c r="Q144" s="3" t="n">
        <v>7</v>
      </c>
      <c r="R144" s="3" t="n">
        <v>59</v>
      </c>
      <c r="S144" s="3" t="str">
        <f aca="false">IF(T144&gt;Q144,"Delayed","On Time")</f>
        <v>Delayed</v>
      </c>
      <c r="T144" s="3" t="n">
        <v>11</v>
      </c>
      <c r="U144" s="4" t="n">
        <v>13777.06</v>
      </c>
      <c r="V144" s="3" t="str">
        <f aca="false">IF(N144&lt;=0,"Yes","No")</f>
        <v>No</v>
      </c>
      <c r="W144" s="3" t="n">
        <v>699</v>
      </c>
      <c r="X144" s="3" t="n">
        <v>695</v>
      </c>
      <c r="Y144" s="5" t="n">
        <f aca="false">IFERROR(1-ABS(W144-X144)/X144,0)</f>
        <v>0.994244604316547</v>
      </c>
      <c r="Z144" s="6" t="n">
        <f aca="false">IFERROR(M144/((K144+N144)/2),0)</f>
        <v>0.408450704225352</v>
      </c>
    </row>
    <row r="145" customFormat="false" ht="15" hidden="false" customHeight="false" outlineLevel="0" collapsed="false">
      <c r="A145" s="2" t="n">
        <v>45980</v>
      </c>
      <c r="B145" s="3" t="s">
        <v>94</v>
      </c>
      <c r="C145" s="3" t="s">
        <v>93</v>
      </c>
      <c r="D145" s="3" t="n">
        <v>2025</v>
      </c>
      <c r="E145" s="3" t="s">
        <v>34</v>
      </c>
      <c r="F145" s="3" t="s">
        <v>35</v>
      </c>
      <c r="G145" s="3" t="s">
        <v>36</v>
      </c>
      <c r="H145" s="3" t="s">
        <v>74</v>
      </c>
      <c r="I145" s="3" t="s">
        <v>41</v>
      </c>
      <c r="J145" s="3" t="s">
        <v>33</v>
      </c>
      <c r="K145" s="3" t="n">
        <v>1305</v>
      </c>
      <c r="L145" s="3" t="n">
        <v>332</v>
      </c>
      <c r="M145" s="3" t="n">
        <v>934</v>
      </c>
      <c r="N145" s="3" t="n">
        <f aca="false">K145+L145-M145</f>
        <v>703</v>
      </c>
      <c r="O145" s="3" t="n">
        <v>203</v>
      </c>
      <c r="P145" s="3" t="str">
        <f aca="false">IF(N145&lt;=O145,"Reorder Needed","Sufficient")</f>
        <v>Sufficient</v>
      </c>
      <c r="Q145" s="3" t="n">
        <v>10</v>
      </c>
      <c r="R145" s="3" t="n">
        <v>651</v>
      </c>
      <c r="S145" s="3" t="str">
        <f aca="false">IF(T145&gt;Q145,"Delayed","On Time")</f>
        <v>Delayed</v>
      </c>
      <c r="T145" s="3" t="n">
        <v>11</v>
      </c>
      <c r="U145" s="4" t="n">
        <v>10724.05</v>
      </c>
      <c r="V145" s="3" t="str">
        <f aca="false">IF(N145&lt;=0,"Yes","No")</f>
        <v>No</v>
      </c>
      <c r="W145" s="3" t="n">
        <v>304</v>
      </c>
      <c r="X145" s="3" t="n">
        <v>333</v>
      </c>
      <c r="Y145" s="5" t="n">
        <f aca="false">IFERROR(1-ABS(W145-X145)/X145,0)</f>
        <v>0.912912912912913</v>
      </c>
      <c r="Z145" s="6" t="n">
        <f aca="false">IFERROR(M145/((K145+N145)/2),0)</f>
        <v>0.930278884462151</v>
      </c>
    </row>
    <row r="146" customFormat="false" ht="15" hidden="false" customHeight="false" outlineLevel="0" collapsed="false">
      <c r="A146" s="2" t="n">
        <v>45993</v>
      </c>
      <c r="B146" s="3" t="s">
        <v>95</v>
      </c>
      <c r="C146" s="3" t="s">
        <v>93</v>
      </c>
      <c r="D146" s="3" t="n">
        <v>2025</v>
      </c>
      <c r="E146" s="3" t="s">
        <v>87</v>
      </c>
      <c r="F146" s="3" t="s">
        <v>88</v>
      </c>
      <c r="G146" s="3" t="s">
        <v>64</v>
      </c>
      <c r="H146" s="3" t="s">
        <v>65</v>
      </c>
      <c r="I146" s="3" t="s">
        <v>41</v>
      </c>
      <c r="J146" s="3" t="s">
        <v>33</v>
      </c>
      <c r="K146" s="3" t="n">
        <v>815</v>
      </c>
      <c r="L146" s="3" t="n">
        <v>202</v>
      </c>
      <c r="M146" s="3" t="n">
        <v>328</v>
      </c>
      <c r="N146" s="3" t="n">
        <f aca="false">K146+L146-M146</f>
        <v>689</v>
      </c>
      <c r="O146" s="3" t="n">
        <v>352</v>
      </c>
      <c r="P146" s="3" t="str">
        <f aca="false">IF(N146&lt;=O146,"Reorder Needed","Sufficient")</f>
        <v>Sufficient</v>
      </c>
      <c r="Q146" s="3" t="n">
        <v>14</v>
      </c>
      <c r="R146" s="3" t="n">
        <v>336</v>
      </c>
      <c r="S146" s="3" t="str">
        <f aca="false">IF(T146&gt;Q146,"Delayed","On Time")</f>
        <v>Delayed</v>
      </c>
      <c r="T146" s="3" t="n">
        <v>17</v>
      </c>
      <c r="U146" s="4" t="n">
        <v>3380.11</v>
      </c>
      <c r="V146" s="3" t="str">
        <f aca="false">IF(N146&lt;=0,"Yes","No")</f>
        <v>No</v>
      </c>
      <c r="W146" s="3" t="n">
        <v>308</v>
      </c>
      <c r="X146" s="3" t="n">
        <v>266</v>
      </c>
      <c r="Y146" s="5" t="n">
        <f aca="false">IFERROR(1-ABS(W146-X146)/X146,0)</f>
        <v>0.842105263157895</v>
      </c>
      <c r="Z146" s="6" t="n">
        <f aca="false">IFERROR(M146/((K146+N146)/2),0)</f>
        <v>0.436170212765957</v>
      </c>
    </row>
    <row r="147" customFormat="false" ht="15" hidden="false" customHeight="false" outlineLevel="0" collapsed="false">
      <c r="A147" s="2" t="n">
        <v>46009</v>
      </c>
      <c r="B147" s="3" t="s">
        <v>95</v>
      </c>
      <c r="C147" s="3" t="s">
        <v>93</v>
      </c>
      <c r="D147" s="3" t="n">
        <v>2025</v>
      </c>
      <c r="E147" s="3" t="s">
        <v>72</v>
      </c>
      <c r="F147" s="3" t="s">
        <v>73</v>
      </c>
      <c r="G147" s="3" t="s">
        <v>30</v>
      </c>
      <c r="H147" s="3" t="s">
        <v>31</v>
      </c>
      <c r="I147" s="3" t="s">
        <v>38</v>
      </c>
      <c r="J147" s="3" t="s">
        <v>39</v>
      </c>
      <c r="K147" s="3" t="n">
        <v>649</v>
      </c>
      <c r="L147" s="3" t="n">
        <v>109</v>
      </c>
      <c r="M147" s="3" t="n">
        <v>43</v>
      </c>
      <c r="N147" s="3" t="n">
        <f aca="false">K147+L147-M147</f>
        <v>715</v>
      </c>
      <c r="O147" s="3" t="n">
        <v>189</v>
      </c>
      <c r="P147" s="3" t="str">
        <f aca="false">IF(N147&lt;=O147,"Reorder Needed","Sufficient")</f>
        <v>Sufficient</v>
      </c>
      <c r="Q147" s="3" t="n">
        <v>8</v>
      </c>
      <c r="R147" s="3" t="n">
        <v>615</v>
      </c>
      <c r="S147" s="3" t="str">
        <f aca="false">IF(T147&gt;Q147,"Delayed","On Time")</f>
        <v>On Time</v>
      </c>
      <c r="T147" s="3" t="n">
        <v>7</v>
      </c>
      <c r="U147" s="4" t="n">
        <v>6726.64</v>
      </c>
      <c r="V147" s="3" t="str">
        <f aca="false">IF(N147&lt;=0,"Yes","No")</f>
        <v>No</v>
      </c>
      <c r="W147" s="3" t="n">
        <v>553</v>
      </c>
      <c r="X147" s="3" t="n">
        <v>395</v>
      </c>
      <c r="Y147" s="5" t="n">
        <f aca="false">IFERROR(1-ABS(W147-X147)/X147,0)</f>
        <v>0.6</v>
      </c>
      <c r="Z147" s="6" t="n">
        <f aca="false">IFERROR(M147/((K147+N147)/2),0)</f>
        <v>0.063049853372434</v>
      </c>
    </row>
    <row r="148" customFormat="false" ht="15" hidden="false" customHeight="false" outlineLevel="0" collapsed="false">
      <c r="A148" s="2" t="n">
        <v>46011</v>
      </c>
      <c r="B148" s="3" t="s">
        <v>95</v>
      </c>
      <c r="C148" s="3" t="s">
        <v>93</v>
      </c>
      <c r="D148" s="3" t="n">
        <v>2025</v>
      </c>
      <c r="E148" s="3" t="s">
        <v>89</v>
      </c>
      <c r="F148" s="3" t="s">
        <v>90</v>
      </c>
      <c r="G148" s="3" t="s">
        <v>36</v>
      </c>
      <c r="H148" s="3" t="s">
        <v>85</v>
      </c>
      <c r="I148" s="3" t="s">
        <v>41</v>
      </c>
      <c r="J148" s="3" t="s">
        <v>33</v>
      </c>
      <c r="K148" s="3" t="n">
        <v>1083</v>
      </c>
      <c r="L148" s="3" t="n">
        <v>260</v>
      </c>
      <c r="M148" s="3" t="n">
        <v>432</v>
      </c>
      <c r="N148" s="3" t="n">
        <f aca="false">K148+L148-M148</f>
        <v>911</v>
      </c>
      <c r="O148" s="3" t="n">
        <v>378</v>
      </c>
      <c r="P148" s="3" t="str">
        <f aca="false">IF(N148&lt;=O148,"Reorder Needed","Sufficient")</f>
        <v>Sufficient</v>
      </c>
      <c r="Q148" s="3" t="n">
        <v>15</v>
      </c>
      <c r="R148" s="3" t="n">
        <v>174</v>
      </c>
      <c r="S148" s="3" t="str">
        <f aca="false">IF(T148&gt;Q148,"Delayed","On Time")</f>
        <v>Delayed</v>
      </c>
      <c r="T148" s="3" t="n">
        <v>18</v>
      </c>
      <c r="U148" s="4" t="n">
        <v>3347.81</v>
      </c>
      <c r="V148" s="3" t="str">
        <f aca="false">IF(N148&lt;=0,"Yes","No")</f>
        <v>No</v>
      </c>
      <c r="W148" s="3" t="n">
        <v>521</v>
      </c>
      <c r="X148" s="3" t="n">
        <v>612</v>
      </c>
      <c r="Y148" s="5" t="n">
        <f aca="false">IFERROR(1-ABS(W148-X148)/X148,0)</f>
        <v>0.851307189542484</v>
      </c>
      <c r="Z148" s="6" t="n">
        <f aca="false">IFERROR(M148/((K148+N148)/2),0)</f>
        <v>0.433299899699097</v>
      </c>
    </row>
    <row r="149" customFormat="false" ht="15" hidden="false" customHeight="false" outlineLevel="0" collapsed="false">
      <c r="A149" s="2" t="n">
        <v>46012</v>
      </c>
      <c r="B149" s="3" t="s">
        <v>95</v>
      </c>
      <c r="C149" s="3" t="s">
        <v>93</v>
      </c>
      <c r="D149" s="3" t="n">
        <v>2025</v>
      </c>
      <c r="E149" s="3" t="s">
        <v>68</v>
      </c>
      <c r="F149" s="3" t="s">
        <v>69</v>
      </c>
      <c r="G149" s="3" t="s">
        <v>60</v>
      </c>
      <c r="H149" s="3" t="s">
        <v>61</v>
      </c>
      <c r="I149" s="3" t="s">
        <v>41</v>
      </c>
      <c r="J149" s="3" t="s">
        <v>33</v>
      </c>
      <c r="K149" s="3" t="n">
        <v>887</v>
      </c>
      <c r="L149" s="3" t="n">
        <v>283</v>
      </c>
      <c r="M149" s="3" t="n">
        <v>798</v>
      </c>
      <c r="N149" s="3" t="n">
        <f aca="false">K149+L149-M149</f>
        <v>372</v>
      </c>
      <c r="O149" s="3" t="n">
        <v>96</v>
      </c>
      <c r="P149" s="3" t="str">
        <f aca="false">IF(N149&lt;=O149,"Reorder Needed","Sufficient")</f>
        <v>Sufficient</v>
      </c>
      <c r="Q149" s="3" t="n">
        <v>16</v>
      </c>
      <c r="R149" s="3" t="n">
        <v>721</v>
      </c>
      <c r="S149" s="3" t="str">
        <f aca="false">IF(T149&gt;Q149,"Delayed","On Time")</f>
        <v>Delayed</v>
      </c>
      <c r="T149" s="3" t="n">
        <v>20</v>
      </c>
      <c r="U149" s="4" t="n">
        <v>4595.12</v>
      </c>
      <c r="V149" s="3" t="str">
        <f aca="false">IF(N149&lt;=0,"Yes","No")</f>
        <v>No</v>
      </c>
      <c r="W149" s="3" t="n">
        <v>725</v>
      </c>
      <c r="X149" s="3" t="n">
        <v>593</v>
      </c>
      <c r="Y149" s="5" t="n">
        <f aca="false">IFERROR(1-ABS(W149-X149)/X149,0)</f>
        <v>0.777403035413154</v>
      </c>
      <c r="Z149" s="6" t="n">
        <f aca="false">IFERROR(M149/((K149+N149)/2),0)</f>
        <v>1.26767275615568</v>
      </c>
    </row>
    <row r="150" customFormat="false" ht="15" hidden="false" customHeight="false" outlineLevel="0" collapsed="false">
      <c r="A150" s="2" t="n">
        <v>46018</v>
      </c>
      <c r="B150" s="3" t="s">
        <v>95</v>
      </c>
      <c r="C150" s="3" t="s">
        <v>93</v>
      </c>
      <c r="D150" s="3" t="n">
        <v>2025</v>
      </c>
      <c r="E150" s="3" t="s">
        <v>72</v>
      </c>
      <c r="F150" s="3" t="s">
        <v>73</v>
      </c>
      <c r="G150" s="3" t="s">
        <v>30</v>
      </c>
      <c r="H150" s="3" t="s">
        <v>74</v>
      </c>
      <c r="I150" s="3" t="s">
        <v>45</v>
      </c>
      <c r="J150" s="3" t="s">
        <v>46</v>
      </c>
      <c r="K150" s="3" t="n">
        <v>233</v>
      </c>
      <c r="L150" s="3" t="n">
        <v>512</v>
      </c>
      <c r="M150" s="3" t="n">
        <v>186</v>
      </c>
      <c r="N150" s="3" t="n">
        <f aca="false">K150+L150-M150</f>
        <v>559</v>
      </c>
      <c r="O150" s="3" t="n">
        <v>210</v>
      </c>
      <c r="P150" s="3" t="str">
        <f aca="false">IF(N150&lt;=O150,"Reorder Needed","Sufficient")</f>
        <v>Sufficient</v>
      </c>
      <c r="Q150" s="3" t="n">
        <v>16</v>
      </c>
      <c r="R150" s="3" t="n">
        <v>407</v>
      </c>
      <c r="S150" s="3" t="str">
        <f aca="false">IF(T150&gt;Q150,"Delayed","On Time")</f>
        <v>On Time</v>
      </c>
      <c r="T150" s="3" t="n">
        <v>13</v>
      </c>
      <c r="U150" s="4" t="n">
        <v>7480.29</v>
      </c>
      <c r="V150" s="3" t="str">
        <f aca="false">IF(N150&lt;=0,"Yes","No")</f>
        <v>No</v>
      </c>
      <c r="W150" s="3" t="n">
        <v>726</v>
      </c>
      <c r="X150" s="3" t="n">
        <v>852</v>
      </c>
      <c r="Y150" s="5" t="n">
        <f aca="false">IFERROR(1-ABS(W150-X150)/X150,0)</f>
        <v>0.852112676056338</v>
      </c>
      <c r="Z150" s="6" t="n">
        <f aca="false">IFERROR(M150/((K150+N150)/2),0)</f>
        <v>0.46969696969697</v>
      </c>
    </row>
    <row r="151" customFormat="false" ht="15" hidden="false" customHeight="false" outlineLevel="0" collapsed="false">
      <c r="A151" s="2" t="n">
        <v>46022</v>
      </c>
      <c r="B151" s="3" t="s">
        <v>95</v>
      </c>
      <c r="C151" s="3" t="s">
        <v>93</v>
      </c>
      <c r="D151" s="3" t="n">
        <v>2025</v>
      </c>
      <c r="E151" s="3" t="s">
        <v>42</v>
      </c>
      <c r="F151" s="3" t="s">
        <v>43</v>
      </c>
      <c r="G151" s="3" t="s">
        <v>44</v>
      </c>
      <c r="H151" s="3" t="s">
        <v>52</v>
      </c>
      <c r="I151" s="3" t="s">
        <v>32</v>
      </c>
      <c r="J151" s="3" t="s">
        <v>33</v>
      </c>
      <c r="K151" s="3" t="n">
        <v>1371</v>
      </c>
      <c r="L151" s="3" t="n">
        <v>652</v>
      </c>
      <c r="M151" s="3" t="n">
        <v>863</v>
      </c>
      <c r="N151" s="3" t="n">
        <f aca="false">K151+L151-M151</f>
        <v>1160</v>
      </c>
      <c r="O151" s="3" t="n">
        <v>326</v>
      </c>
      <c r="P151" s="3" t="str">
        <f aca="false">IF(N151&lt;=O151,"Reorder Needed","Sufficient")</f>
        <v>Sufficient</v>
      </c>
      <c r="Q151" s="3" t="n">
        <v>9</v>
      </c>
      <c r="R151" s="3" t="n">
        <v>786</v>
      </c>
      <c r="S151" s="3" t="str">
        <f aca="false">IF(T151&gt;Q151,"Delayed","On Time")</f>
        <v>On Time</v>
      </c>
      <c r="T151" s="3" t="n">
        <v>6</v>
      </c>
      <c r="U151" s="4" t="n">
        <v>7827.61</v>
      </c>
      <c r="V151" s="3" t="str">
        <f aca="false">IF(N151&lt;=0,"Yes","No")</f>
        <v>No</v>
      </c>
      <c r="W151" s="3" t="n">
        <v>266</v>
      </c>
      <c r="X151" s="3" t="n">
        <v>192</v>
      </c>
      <c r="Y151" s="5" t="n">
        <f aca="false">IFERROR(1-ABS(W151-X151)/X151,0)</f>
        <v>0.614583333333333</v>
      </c>
      <c r="Z151" s="6" t="n">
        <f aca="false">IFERROR(M151/((K151+N151)/2),0)</f>
        <v>0.681943895693402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7" t="s">
        <v>96</v>
      </c>
      <c r="B1" s="7" t="s">
        <v>97</v>
      </c>
    </row>
    <row r="2" customFormat="false" ht="15" hidden="false" customHeight="false" outlineLevel="0" collapsed="false">
      <c r="A2" s="3" t="s">
        <v>98</v>
      </c>
      <c r="B2" s="8" t="n">
        <f aca="false">SUM(Supply_Chain_Data!K2:K151)</f>
        <v>116639</v>
      </c>
    </row>
    <row r="3" customFormat="false" ht="15" hidden="false" customHeight="false" outlineLevel="0" collapsed="false">
      <c r="A3" s="3" t="s">
        <v>99</v>
      </c>
      <c r="B3" s="8" t="n">
        <f aca="false">SUM(Supply_Chain_Data!L2:L151)</f>
        <v>60942</v>
      </c>
    </row>
    <row r="4" customFormat="false" ht="15" hidden="false" customHeight="false" outlineLevel="0" collapsed="false">
      <c r="A4" s="3" t="s">
        <v>100</v>
      </c>
      <c r="B4" s="8" t="n">
        <f aca="false">SUM(Supply_Chain_Data!M2:M151)</f>
        <v>93205</v>
      </c>
    </row>
    <row r="5" customFormat="false" ht="15" hidden="false" customHeight="false" outlineLevel="0" collapsed="false">
      <c r="A5" s="3" t="s">
        <v>101</v>
      </c>
      <c r="B5" s="8" t="n">
        <f aca="false">SUM(Supply_Chain_Data!N2:N151)</f>
        <v>84376</v>
      </c>
    </row>
    <row r="6" customFormat="false" ht="15" hidden="false" customHeight="false" outlineLevel="0" collapsed="false">
      <c r="A6" s="3" t="s">
        <v>102</v>
      </c>
      <c r="B6" s="8" t="n">
        <f aca="false">COUNTIF(Supply_Chain_Data!V2:V151,"Yes")</f>
        <v>14</v>
      </c>
    </row>
    <row r="7" customFormat="false" ht="15" hidden="false" customHeight="false" outlineLevel="0" collapsed="false">
      <c r="A7" s="3" t="s">
        <v>103</v>
      </c>
      <c r="B7" s="8" t="n">
        <f aca="false">COUNTIF(Supply_Chain_Data!P2:P151,"Reorder Needed")</f>
        <v>35</v>
      </c>
    </row>
    <row r="8" customFormat="false" ht="15" hidden="false" customHeight="false" outlineLevel="0" collapsed="false">
      <c r="A8" s="3" t="s">
        <v>104</v>
      </c>
      <c r="B8" s="9" t="n">
        <f aca="false">AVERAGE(Supply_Chain_Data!Q2:Q151)</f>
        <v>12.3333333333333</v>
      </c>
    </row>
    <row r="9" customFormat="false" ht="15" hidden="false" customHeight="false" outlineLevel="0" collapsed="false">
      <c r="A9" s="3" t="s">
        <v>105</v>
      </c>
      <c r="B9" s="5" t="n">
        <f aca="false">COUNTIF(Supply_Chain_Data!S2:S151,"On Time")/COUNTA(Supply_Chain_Data!E2:E151)</f>
        <v>0.346666666666667</v>
      </c>
    </row>
    <row r="10" customFormat="false" ht="15" hidden="false" customHeight="false" outlineLevel="0" collapsed="false">
      <c r="A10" s="3" t="s">
        <v>106</v>
      </c>
      <c r="B10" s="5" t="n">
        <f aca="false">AVERAGE(Supply_Chain_Data!Y2:Y151)</f>
        <v>0.856524040132184</v>
      </c>
    </row>
    <row r="11" customFormat="false" ht="15" hidden="false" customHeight="false" outlineLevel="0" collapsed="false">
      <c r="A11" s="3" t="s">
        <v>107</v>
      </c>
      <c r="B11" s="10" t="n">
        <f aca="false">SUM(Supply_Chain_Data!U2:U151)</f>
        <v>1103947.83</v>
      </c>
    </row>
    <row r="12" customFormat="false" ht="15" hidden="false" customHeight="false" outlineLevel="0" collapsed="false">
      <c r="A12" s="3" t="s">
        <v>108</v>
      </c>
      <c r="B12" s="6" t="n">
        <f aca="false">AVERAGE(Supply_Chain_Data!Z2:Z151)</f>
        <v>1.33377616433486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2026-09-09T09:14:57Z</dcterms:created>
  <dc:creator>openpyxl</dc:creator>
  <dc:description/>
  <dc:language>en-US</dc:language>
  <cp:lastModifiedBy/>
  <dcterms:modified xsi:type="dcterms:W3CDTF">2026-09-09T09:14:57Z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